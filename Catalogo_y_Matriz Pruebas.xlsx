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isitos" sheetId="2" r:id="rId5"/>
    <sheet state="visible" name="Calculo Produccion" sheetId="3" r:id="rId6"/>
    <sheet state="visible" name="Calculo_Referencia" sheetId="4" r:id="rId7"/>
    <sheet state="visible" name="Catalogo" sheetId="5" r:id="rId8"/>
    <sheet state="visible" name="Verificacion" sheetId="6" r:id="rId9"/>
    <sheet state="visible" name="Matriz" sheetId="7" r:id="rId10"/>
    <sheet state="visible" name="Cobertura" sheetId="8" r:id="rId11"/>
    <sheet state="visible" name="Riesgos" sheetId="9" r:id="rId12"/>
    <sheet state="visible" name="Listas" sheetId="10" r:id="rId13"/>
  </sheets>
  <definedNames/>
  <calcPr/>
  <extLst>
    <ext uri="GoogleSheetsCustomDataVersion2">
      <go:sheetsCustomData xmlns:go="http://customooxmlschemas.google.com/" r:id="rId14" roundtripDataChecksum="icpQ5Va1Yv3Uw9pVGKXCQr0cazX1ljvyOuA1AQH/6qA="/>
    </ext>
  </extLst>
</workbook>
</file>

<file path=xl/sharedStrings.xml><?xml version="1.0" encoding="utf-8"?>
<sst xmlns="http://schemas.openxmlformats.org/spreadsheetml/2006/main" count="1267" uniqueCount="562">
  <si>
    <t>Requisitos del sistema de predicción de demanda</t>
  </si>
  <si>
    <t>Plantilla E1 · Catálogo de casos de prueba y matriz de trazabilidad (VERSIÓN EN BLANCO)</t>
  </si>
  <si>
    <t>Aquí listas los requisitos del backlog (levantados con Producción). La Matriz y la Cobertura se alimentan de esta hoja. Celdas azules = datos que tú escribes.</t>
  </si>
  <si>
    <t>ID requisito</t>
  </si>
  <si>
    <t>EL-06</t>
  </si>
  <si>
    <t>Descripción</t>
  </si>
  <si>
    <t>Módulo</t>
  </si>
  <si>
    <t>Electrodos Adhesivos Cuadrados CM5050</t>
  </si>
  <si>
    <t>Tipo</t>
  </si>
  <si>
    <t>Prioridad</t>
  </si>
  <si>
    <t>RF-01</t>
  </si>
  <si>
    <t>Iniciar y cerrar sesión con credenciales; la sesión expira por inactividad</t>
  </si>
  <si>
    <t>T-07</t>
  </si>
  <si>
    <t>Referencia independiente · CAF-500 · serie sintética de 24 meses</t>
  </si>
  <si>
    <t>Intensity Twin Stim III Tens/Ems</t>
  </si>
  <si>
    <t>Datos diseñados para prueba, no registros reales. Cargar los mismos 24 valores en el sistema; Producción debe validar convenciones y tolerancia.</t>
  </si>
  <si>
    <t>Autenticación y roles</t>
  </si>
  <si>
    <t>t</t>
  </si>
  <si>
    <t>Funcional</t>
  </si>
  <si>
    <t>T-01</t>
  </si>
  <si>
    <t>Demanda real</t>
  </si>
  <si>
    <t>PMS(3)</t>
  </si>
  <si>
    <t>Tens Analogo 3000</t>
  </si>
  <si>
    <t>Alta</t>
  </si>
  <si>
    <t>PMP(3)</t>
  </si>
  <si>
    <t>RF-02</t>
  </si>
  <si>
    <t>Gestionar usuarios: crear, editar, desactivar y asignar uno de los cuatro roles</t>
  </si>
  <si>
    <t>SES</t>
  </si>
  <si>
    <t>Nivel Holt</t>
  </si>
  <si>
    <t>Tendencia Holt</t>
  </si>
  <si>
    <t>RF-03</t>
  </si>
  <si>
    <t>Controlar el acceso por rol a pantallas y endpoints (403 sin permiso)</t>
  </si>
  <si>
    <t>Holt ajustado</t>
  </si>
  <si>
    <t>RF-04</t>
  </si>
  <si>
    <t>Regresión ajustada</t>
  </si>
  <si>
    <t>CRUD de los 3 productos con código, nombre, categoría y unidad</t>
  </si>
  <si>
    <t>Periodo</t>
  </si>
  <si>
    <t>Gestión de datos</t>
  </si>
  <si>
    <t>Error PMS</t>
  </si>
  <si>
    <t>|Error|</t>
  </si>
  <si>
    <t>RF-05</t>
  </si>
  <si>
    <t>Registrar manualmente producción y demanda por producto y mes, sin duplicar producto-período</t>
  </si>
  <si>
    <t>Error²</t>
  </si>
  <si>
    <t>Cantidad</t>
  </si>
  <si>
    <t>APE (%)</t>
  </si>
  <si>
    <t>Pt n=2</t>
  </si>
  <si>
    <t>RF-06</t>
  </si>
  <si>
    <t>Cargar el histórico desde CSV o Excel (24 períodos) informando filas cargadas y rechazadas</t>
  </si>
  <si>
    <t>Parámetros</t>
  </si>
  <si>
    <t>[Et]= n=2</t>
  </si>
  <si>
    <t>[Et]/Dt</t>
  </si>
  <si>
    <t>Pt n=3</t>
  </si>
  <si>
    <t>RF-07</t>
  </si>
  <si>
    <t>Valor</t>
  </si>
  <si>
    <t>Detectar atípicos y faltantes y permitir corregirlos o imputarlos conservando el original</t>
  </si>
  <si>
    <t>[Et]= n=3</t>
  </si>
  <si>
    <t>Media</t>
  </si>
  <si>
    <t>RF-08</t>
  </si>
  <si>
    <t>Registrar la capacidad disponible por centro de trabajo y período</t>
  </si>
  <si>
    <t>RF-09</t>
  </si>
  <si>
    <t>Visualizar el histórico en tabla y gráfico de líneas con filtros por producto y rango</t>
  </si>
  <si>
    <t>RF-10</t>
  </si>
  <si>
    <t>Configurar parámetros por modelo (n, pesos, α, β, horizonte) validando rangos</t>
  </si>
  <si>
    <t>Pronóstico</t>
  </si>
  <si>
    <t>RF-11</t>
  </si>
  <si>
    <t>Ejecutar promedio móvil simple</t>
  </si>
  <si>
    <t>RF-12</t>
  </si>
  <si>
    <t>Ejecutar promedio móvil ponderado</t>
  </si>
  <si>
    <t>RF-13</t>
  </si>
  <si>
    <t>Ejecutar suavización exponencial simple</t>
  </si>
  <si>
    <t>RF-14</t>
  </si>
  <si>
    <t>Ejecutar suavización exponencial con tendencia (Holt)</t>
  </si>
  <si>
    <t>RF-15</t>
  </si>
  <si>
    <t>Ejecutar regresión lineal por mínimos cuadrados (pendiente, intercepto y pronóstico)</t>
  </si>
  <si>
    <t>RF-16</t>
  </si>
  <si>
    <t>Ejecutar el método estacional multiplicativo con sus 12 índices</t>
  </si>
  <si>
    <t>RF-17</t>
  </si>
  <si>
    <t>Calcular MAD, MAPE, sesgo y señal de rastreo por modelo y producto</t>
  </si>
  <si>
    <t>Enero</t>
  </si>
  <si>
    <t>RF-18</t>
  </si>
  <si>
    <t>Comparar los 6 modelos sobre un producto e indicar el de menor MAPE</t>
  </si>
  <si>
    <t>RF-19</t>
  </si>
  <si>
    <t>Guardar el historial de ejecuciones (parámetros, resultados, fecha y usuario)</t>
  </si>
  <si>
    <t>RF-20</t>
  </si>
  <si>
    <t>Tablero de exactitud con MAD y MAPE por producto y método</t>
  </si>
  <si>
    <t>/</t>
  </si>
  <si>
    <t>Indicadores y reportes</t>
  </si>
  <si>
    <t>RF-21</t>
  </si>
  <si>
    <t>Gráfico pronóstico vs. real por período y producto, con sesgo acumulado</t>
  </si>
  <si>
    <t>RF-22</t>
  </si>
  <si>
    <t>Plan agregado frente a capacidad por centro, con sobrecarga y subutilización</t>
  </si>
  <si>
    <t>RF-23</t>
  </si>
  <si>
    <t>Alertas cuando el error supera un umbral configurable o la señal de rastreo sale de límites</t>
  </si>
  <si>
    <t>RF-24</t>
  </si>
  <si>
    <t>Exportar predicciones e indicadores a PDF o Excel con filtros</t>
  </si>
  <si>
    <t>RF-25</t>
  </si>
  <si>
    <t>Registrar acciones críticas (cargas, ejecuciones y cambios de rol) con usuario y fecha</t>
  </si>
  <si>
    <t>Baja</t>
  </si>
  <si>
    <t>RNF-01</t>
  </si>
  <si>
    <t>Rendimiento: 6 modelos en ≤ 3 s por producto y ≤ 10 s para los 3 productos</t>
  </si>
  <si>
    <t>Febrero</t>
  </si>
  <si>
    <t>No funcional</t>
  </si>
  <si>
    <t>RNF-02</t>
  </si>
  <si>
    <t>Rendimiento: carga de pantallas y tablero en ≤ 2 s</t>
  </si>
  <si>
    <t>RNF-03</t>
  </si>
  <si>
    <t>Pruebas de Software · Proyecto Nuclear · Sistema web de predicción de demanda · Corte 1 (vence el 23/10/2026)</t>
  </si>
  <si>
    <t>Escalabilidad: 50 productos × 60 períodos sin cambios de código</t>
  </si>
  <si>
    <t>Transversal</t>
  </si>
  <si>
    <t>QUÉ ES ESTE ARCHIVO</t>
  </si>
  <si>
    <t>RNF-04</t>
  </si>
  <si>
    <t>Seguridad: contraseñas con hash BCrypt, nunca en texto plano</t>
  </si>
  <si>
    <t>RNF-05</t>
  </si>
  <si>
    <t>Un solo libro de Excel que sirve para el Anexo A del Plan maestro (catálogo de casos) y para el entregable E1.2 (matriz de trazabilidad). Esta es la versión EN BLANCO: las fórmulas, listas y validaciones ya funcionan; solo escribe tus datos. Abajo hay un ejemplo de cómo se llena una fila de cada hoja.</t>
  </si>
  <si>
    <t>Seguridad: JWT con expiración y verificación de rol en cada endpoint</t>
  </si>
  <si>
    <t>HOJAS</t>
  </si>
  <si>
    <t>RNF-06</t>
  </si>
  <si>
    <t>Marzo</t>
  </si>
  <si>
    <t>Seguridad: protección OWASP Top 10 y HTTPS en producción</t>
  </si>
  <si>
    <t>Requisitos → lista de requisitos del backlog. Todo parte de aquí.</t>
  </si>
  <si>
    <t>Catalogo → un caso de prueba por fila (ID, requisito, técnica, datos de entrada, resultado esperado, tolerancia…).</t>
  </si>
  <si>
    <t>RNF-07</t>
  </si>
  <si>
    <t>Verificacion → compara el valor del sistema con el valor de referencia de Producción y calcula APROBADO / FALLIDO con la tolerancia.</t>
  </si>
  <si>
    <t>Disponibilidad ≥ 95 % durante el semestre</t>
  </si>
  <si>
    <t>Calculo_Referencia → el cálculo independiente en Excel (promedio móvil, suavización exponencial, regresión, MAD, MSE, MAPE). Es lo que hace Producción.</t>
  </si>
  <si>
    <t>Matriz → trazabilidad: qué casos verifican cada requisito. Detecta requisitos sin cobertura.</t>
  </si>
  <si>
    <t>RNF-08</t>
  </si>
  <si>
    <t>Exactitud: diferencia ≤ 0,01 % frente al cálculo independiente</t>
  </si>
  <si>
    <t>Cobertura → revisa tu entrega: % de requisitos cubiertos, mínimo de casos, casos huérfanos. Se calcula solo.</t>
  </si>
  <si>
    <t>Riesgos → matriz de riesgos (exposición = probabilidad × impacto) para priorizar las pruebas.</t>
  </si>
  <si>
    <t>Listas → apoya las listas desplegables. No la toques.</t>
  </si>
  <si>
    <t>RNF-09</t>
  </si>
  <si>
    <t>Integridad: todo cambio del histórico queda registrado con el valor original</t>
  </si>
  <si>
    <t>CÓDIGO DE COLORES</t>
  </si>
  <si>
    <t>Texto AZUL = datos que tú escribes · Texto NEGRO = fórmulas (no las borres) · Texto VERDE = vínculo a otra hoja · Celda AMARILLA = dato clave que debes completar (valor del sistema, α).</t>
  </si>
  <si>
    <t>RNF-10</t>
  </si>
  <si>
    <t>Usabilidad: ≥ 80 % de las tareas principales sin ayuda</t>
  </si>
  <si>
    <t>CÓMO USARLO (PASO A PASO)</t>
  </si>
  <si>
    <t>Peso reciente</t>
  </si>
  <si>
    <t>Abril</t>
  </si>
  <si>
    <t>RNF-11</t>
  </si>
  <si>
    <t>Usabilidad: diseño responsivo en escritorio y tableta</t>
  </si>
  <si>
    <t>RNF-12</t>
  </si>
  <si>
    <t>Mantenibilidad: capas separadas y cada modelo en su propia clase</t>
  </si>
  <si>
    <t>RNF-13</t>
  </si>
  <si>
    <t>Testabilidad: cobertura ≥ 70 % en la lógica de pronóstico</t>
  </si>
  <si>
    <t>RNF-14</t>
  </si>
  <si>
    <t>Interoperabilidad: CSV/XLSX de entrada y PDF/XLSX de salida</t>
  </si>
  <si>
    <t>Mayo</t>
  </si>
  <si>
    <t>RNF-15</t>
  </si>
  <si>
    <t>Portabilidad: el sistema se levanta con un comando (Docker Compose)</t>
  </si>
  <si>
    <t>RNF-16</t>
  </si>
  <si>
    <t>Documentación: un ADR por decisión arquitectónica relevante</t>
  </si>
  <si>
    <t>Junio</t>
  </si>
  <si>
    <t>Julio</t>
  </si>
  <si>
    <t>Agosto</t>
  </si>
  <si>
    <t>1. Escribe los requisitos en la hoja Requisitos (los del backlog acordado con Producción).</t>
  </si>
  <si>
    <t>2. Pide a Producción su Excel de cálculo de referencia. Si aún no lo tienes, usa Calculo_Referencia como modelo para construir el tuyo.</t>
  </si>
  <si>
    <t>3. En Catalogo escribe un caso por fila. Elige el ID de requisito de la lista: la columna Módulo se completa sola.</t>
  </si>
  <si>
    <t>4. Para los casos de verificación numérica, agrega la fila correspondiente en Verificacion con el valor de referencia y la tolerancia acordada.</t>
  </si>
  <si>
    <t>Septiembre</t>
  </si>
  <si>
    <t>5. En Matriz escribe la lista de casos de cada requisito (la columna N.º casos se calcula sola y debe coincidir con tu lista).</t>
  </si>
  <si>
    <t>6. Abre Cobertura: no debe haber requisitos funcionales sin cobertura; mínimo 20 casos y 8 de verificación numérica.</t>
  </si>
  <si>
    <t>7. En el corte 2, al ejecutar, llena "Valor del sistema" en Verificacion y el veredicto de los demás casos en Catalogo.</t>
  </si>
  <si>
    <t>REGLAS IMPORTANTES</t>
  </si>
  <si>
    <t>• El valor esperado sale de un cálculo INDEPENDIENTE (Excel de Producción), nunca del código del sistema.</t>
  </si>
  <si>
    <t>• Los decimales se comparan con TOLERANCIA, no con igualdad exacta. La tolerancia se acuerda con Producción y se firma en el plan maestro (en el ejemplo: 0,01).</t>
  </si>
  <si>
    <t>Octubre</t>
  </si>
  <si>
    <t>• Las reglas de los casos límite y de permisos (por ejemplo, qué hace el sistema si la demanda real es 0, o si el supervisor puede configurar umbrales) son supuestos del ejemplo: acuérdalas con Producción.</t>
  </si>
  <si>
    <t>• Anonimiza los datos de las empresas (Ley 1581 de 2012).</t>
  </si>
  <si>
    <t>EJEMPLO DE UNA FILA DE CADA HOJA (para que veas el formato)</t>
  </si>
  <si>
    <t>Requisitos → RF-05 | Calcular el pronóstico por promedio móvil con ventana configurable | Pronóstico | Funcional | Alta</t>
  </si>
  <si>
    <t>Catalogo → CP-001 | RF-05 | Unitaria | Verificación numérica | Alta | Serie A cargada | Serie 120,132,128,141,138,150; MA ventana 3 | Ejecutar pronóstico MA(3) | Pronóstico del período 4 = 126,67 | tolerancia 0,01</t>
  </si>
  <si>
    <t>Verificacion → CP-001 | MA(3) · pronóstico período 4 | referencia (viene del Excel de Producción) | valor del sistema 126,67 | tolerancia 0,01 → APROBADO</t>
  </si>
  <si>
    <t>Matriz → RF-05 | casos: CP-001, CP-002, CP-003 | Unitaria / Jest (lo demás se calcula solo)</t>
  </si>
  <si>
    <t>Noviembre</t>
  </si>
  <si>
    <t>Riesgos → R-01 | MAPE mal calculado cuando la demanda real es 0 | Pronóstico | Producto | probabilidad 4 | impacto 5 → exposición 20, nivel Alto</t>
  </si>
  <si>
    <t>Peso intermedio</t>
  </si>
  <si>
    <t>Diciembre</t>
  </si>
  <si>
    <t>Peso antiguo</t>
  </si>
  <si>
    <t>α SES</t>
  </si>
  <si>
    <t>α Holt</t>
  </si>
  <si>
    <t>Verificación numérica: sistema vs. cálculo de referencia</t>
  </si>
  <si>
    <t>Catálogo de casos de prueba (Anexo A del plan maestro)</t>
  </si>
  <si>
    <t>Referencia enlazada a Calculo_Referencia; valor del sistema (D) se llena solo tras ejecutar con los mismos 24 datos. Tolerancia provisional pendiente de Producción.</t>
  </si>
  <si>
    <t>ID caso</t>
  </si>
  <si>
    <t>Camilo: casos basados en el backlog oficial y el prototipo Pronostica. Requisitos y Matriz requieren actualización del equipo.</t>
  </si>
  <si>
    <t>Qué se verifica</t>
  </si>
  <si>
    <t>Valor de referencia (Excel)</t>
  </si>
  <si>
    <t>Valor del sistema</t>
  </si>
  <si>
    <t>Diferencia absoluta</t>
  </si>
  <si>
    <t>Tolerancia</t>
  </si>
  <si>
    <t>Unidad</t>
  </si>
  <si>
    <t>Veredicto</t>
  </si>
  <si>
    <t>Módulo (auto)</t>
  </si>
  <si>
    <t>β Holt</t>
  </si>
  <si>
    <t>Defecto asociado</t>
  </si>
  <si>
    <t>Nivel</t>
  </si>
  <si>
    <t>CP-001</t>
  </si>
  <si>
    <t>Técnica</t>
  </si>
  <si>
    <t>Precondiciones</t>
  </si>
  <si>
    <t>PMS t=4</t>
  </si>
  <si>
    <t>Datos de entrada</t>
  </si>
  <si>
    <t>Pasos</t>
  </si>
  <si>
    <t>Resultado esperado</t>
  </si>
  <si>
    <t>Resultado obtenido</t>
  </si>
  <si>
    <t>Ejecutor</t>
  </si>
  <si>
    <t>Fecha</t>
  </si>
  <si>
    <t>pronostico</t>
  </si>
  <si>
    <t>MAD =</t>
  </si>
  <si>
    <t>Unitaria</t>
  </si>
  <si>
    <t>% relativo</t>
  </si>
  <si>
    <t>Verificación numérica</t>
  </si>
  <si>
    <t>Serie sintética CAF-500 de 24 meses</t>
  </si>
  <si>
    <t>PMS n=3; t=4</t>
  </si>
  <si>
    <t>Ejecutar y consultar t=4</t>
  </si>
  <si>
    <t>PMS t=4 = Calculo_Referencia!R12</t>
  </si>
  <si>
    <t>0,01 %</t>
  </si>
  <si>
    <t>MAPE =</t>
  </si>
  <si>
    <t>CP-002</t>
  </si>
  <si>
    <t>PMP t=4</t>
  </si>
  <si>
    <t>CP-003</t>
  </si>
  <si>
    <t>SES t=25</t>
  </si>
  <si>
    <t>CP-004</t>
  </si>
  <si>
    <t>Misma serie</t>
  </si>
  <si>
    <t>Holt t=25</t>
  </si>
  <si>
    <t>PMP pesos 0,5/0,3/0,2; t=4</t>
  </si>
  <si>
    <t>PMP t=4 = Calculo_Referencia!R13</t>
  </si>
  <si>
    <t>CP-005</t>
  </si>
  <si>
    <t>Regresión t=25</t>
  </si>
  <si>
    <t>CP-006</t>
  </si>
  <si>
    <t>PMS t=25</t>
  </si>
  <si>
    <t>SES α=0,3; F₂=D₁</t>
  </si>
  <si>
    <t>Ejecutar a horizonte 1</t>
  </si>
  <si>
    <t>SES t=25 = Calculo_Referencia!R14</t>
  </si>
  <si>
    <t>CP-007</t>
  </si>
  <si>
    <t>MAD PMS</t>
  </si>
  <si>
    <t>CP-008</t>
  </si>
  <si>
    <t>MSE PMS</t>
  </si>
  <si>
    <t>Holt α=0,4; β=0,2</t>
  </si>
  <si>
    <t>Holt t=25 = Calculo_Referencia!R15</t>
  </si>
  <si>
    <t>CP-009</t>
  </si>
  <si>
    <t>MAPE PMS (%)</t>
  </si>
  <si>
    <t>puntos</t>
  </si>
  <si>
    <t>Regresión lineal</t>
  </si>
  <si>
    <t>Regresión t=25 = Calculo_Referencia!R16</t>
  </si>
  <si>
    <t>CP-010</t>
  </si>
  <si>
    <t>Señal de rastreo PMS</t>
  </si>
  <si>
    <t>PMS n=3; t=25</t>
  </si>
  <si>
    <t>PMS t=25 = Calculo_Referencia!R17</t>
  </si>
  <si>
    <t>PMS n=3; t=4–24</t>
  </si>
  <si>
    <t>Consultar MAD</t>
  </si>
  <si>
    <t>MAD = Calculo_Referencia!R18</t>
  </si>
  <si>
    <t>Consultar MSE</t>
  </si>
  <si>
    <t>MSE = Calculo_Referencia!R19</t>
  </si>
  <si>
    <t>Consultar MAPE</t>
  </si>
  <si>
    <t>MAPE = Calculo_Referencia!R20</t>
  </si>
  <si>
    <t>0,01 puntos</t>
  </si>
  <si>
    <t>Escribe en la columna D (amarilla) el valor que devuelve el sistema; el veredicto se calcula solo.</t>
  </si>
  <si>
    <t>Tolerancia 0,01 = diferencia máxima aceptada, acordada con Producción y firmada en el plan maestro. Los valores del sistema están redondeados a 2 decimales.</t>
  </si>
  <si>
    <t>Consultar señal de rastreo</t>
  </si>
  <si>
    <t>Señal = Calculo_Referencia!R21</t>
  </si>
  <si>
    <t>CP-011</t>
  </si>
  <si>
    <t>auth</t>
  </si>
  <si>
    <t>Sistema/Funcional</t>
  </si>
  <si>
    <t>Partición de equivalencia</t>
  </si>
  <si>
    <t>Usuario activo</t>
  </si>
  <si>
    <t>Credenciales válidas e inválidas</t>
  </si>
  <si>
    <t>Iniciar/cerrar sesión; esperar inactividad</t>
  </si>
  <si>
    <t>Solo credenciales válidas acceden; sesión expira</t>
  </si>
  <si>
    <t>PENDIENTE</t>
  </si>
  <si>
    <t>CP-012</t>
  </si>
  <si>
    <t>Tabla de decisión</t>
  </si>
  <si>
    <t>Administrador autenticado</t>
  </si>
  <si>
    <t>Crear, editar, desactivar y asignar rol</t>
  </si>
  <si>
    <t>Ejecutar cada acción</t>
  </si>
  <si>
    <t>Cambios persistidos; cuatro roles disponibles</t>
  </si>
  <si>
    <t>CP-013</t>
  </si>
  <si>
    <t>Seguridad</t>
  </si>
  <si>
    <t>Sesiones de los cuatro roles</t>
  </si>
  <si>
    <t>Ruta y API sin permiso</t>
  </si>
  <si>
    <t>Abrir opción y llamar API</t>
  </si>
  <si>
    <t>Opción oculta y respuesta 403</t>
  </si>
  <si>
    <t>CP-014</t>
  </si>
  <si>
    <t>datos</t>
  </si>
  <si>
    <t>Administrador o analista</t>
  </si>
  <si>
    <t>Tres productos de prueba</t>
  </si>
  <si>
    <t>Crear, consultar, editar y dar de baja</t>
  </si>
  <si>
    <t>Código, nombre, categoría y unidad conservados</t>
  </si>
  <si>
    <t>CP-015</t>
  </si>
  <si>
    <t>Integración</t>
  </si>
  <si>
    <t>Valores límite</t>
  </si>
  <si>
    <t>Analista autenticado</t>
  </si>
  <si>
    <t>Mismo producto y mes dos veces</t>
  </si>
  <si>
    <t>Registrar duplicado</t>
  </si>
  <si>
    <t>Segundo registro rechazado</t>
  </si>
  <si>
    <t>CP-016</t>
  </si>
  <si>
    <t>CSV/XLSX con 24 filas y una inválida</t>
  </si>
  <si>
    <t>Importar archivo</t>
  </si>
  <si>
    <t>Informa filas cargadas/rechazadas y motivo</t>
  </si>
  <si>
    <t>CP-017</t>
  </si>
  <si>
    <t>Histórico cargado</t>
  </si>
  <si>
    <t>Un faltante y un atípico</t>
  </si>
  <si>
    <t>Detectar y corregir/imputar</t>
  </si>
  <si>
    <t>Marca ambos y conserva valor original</t>
  </si>
  <si>
    <t>CP-018</t>
  </si>
  <si>
    <t>Supervisor autenticado</t>
  </si>
  <si>
    <t>Centro, mes y capacidad</t>
  </si>
  <si>
    <t>Registrar capacidad</t>
  </si>
  <si>
    <t>Capacidad asociada al centro y mes</t>
  </si>
  <si>
    <t>CP-019</t>
  </si>
  <si>
    <t>24 períodos por producto</t>
  </si>
  <si>
    <t>CAF-500 y rango completo</t>
  </si>
  <si>
    <t>Abrir tabla y gráfico</t>
  </si>
  <si>
    <t>Muestra 24 puntos del producto correcto</t>
  </si>
  <si>
    <t>CP-020</t>
  </si>
  <si>
    <t>Planeador autenticado</t>
  </si>
  <si>
    <t>α=-0,1; β=1,1; pesos suman 0,9</t>
  </si>
  <si>
    <t>Guardar parámetros</t>
  </si>
  <si>
    <t>Rechaza cada valor inválido</t>
  </si>
  <si>
    <t>CP-021</t>
  </si>
  <si>
    <t>Basada en riesgo</t>
  </si>
  <si>
    <t>Método estacional multiplicativo</t>
  </si>
  <si>
    <t>Ejecutar y revisar índices</t>
  </si>
  <si>
    <t>Presenta 12 índices; cálculo externo por validar</t>
  </si>
  <si>
    <t>Pendiente</t>
  </si>
  <si>
    <t>CP-022</t>
  </si>
  <si>
    <t>Serie cargada</t>
  </si>
  <si>
    <t>Ejecutar seis métodos</t>
  </si>
  <si>
    <t>Abrir comparación</t>
  </si>
  <si>
    <t>Seis modelos ordenados por MAPE; menor señalado</t>
  </si>
  <si>
    <t>CP-023</t>
  </si>
  <si>
    <t>Transición de estados</t>
  </si>
  <si>
    <t>Ejecución con parámetros</t>
  </si>
  <si>
    <t>Guardar y reabrir historial</t>
  </si>
  <si>
    <t>Conserva usuario, fecha, parámetros y resultados</t>
  </si>
  <si>
    <t>CP-024</t>
  </si>
  <si>
    <t>indicadores-reportes</t>
  </si>
  <si>
    <t>Modelo ejecutado</t>
  </si>
  <si>
    <t>CAF-500 y PMS</t>
  </si>
  <si>
    <t>Abrir tablero</t>
  </si>
  <si>
    <t>MAD/MAPE coinciden con ejecución vigente</t>
  </si>
  <si>
    <t>CP-025</t>
  </si>
  <si>
    <t>CAF-500, 24 meses</t>
  </si>
  <si>
    <t>Abrir gráfico</t>
  </si>
  <si>
    <t>Real y pronóstico superpuestos; sesgo correcto</t>
  </si>
  <si>
    <t>CP-026</t>
  </si>
  <si>
    <t>Capacidad registrada</t>
  </si>
  <si>
    <t>Plan mayor y menor que capacidad</t>
  </si>
  <si>
    <t>Abrir plan por centro</t>
  </si>
  <si>
    <t>Resalta sobrecarga y subutilización</t>
  </si>
  <si>
    <t>CP-027</t>
  </si>
  <si>
    <t>MAPE sobre umbral; señal fuera de límites</t>
  </si>
  <si>
    <t>Evaluar alertas</t>
  </si>
  <si>
    <t>Se muestra alerta correspondiente</t>
  </si>
  <si>
    <t>CP-028</t>
  </si>
  <si>
    <t>Tablero con datos</t>
  </si>
  <si>
    <t>Filtros y PDF/XLSX</t>
  </si>
  <si>
    <t>Exportar ambos formatos</t>
  </si>
  <si>
    <t>Filas y valores coinciden con pantalla</t>
  </si>
  <si>
    <t>CP-029</t>
  </si>
  <si>
    <t>Carga, ejecución y cambio de rol</t>
  </si>
  <si>
    <t>Consultar auditoría</t>
  </si>
  <si>
    <t>Registros con usuario y fecha</t>
  </si>
  <si>
    <t>CP-030</t>
  </si>
  <si>
    <t>Rendimiento</t>
  </si>
  <si>
    <t>24 meses × 3 productos</t>
  </si>
  <si>
    <t>Seis métodos por producto</t>
  </si>
  <si>
    <t>Medir tiempo</t>
  </si>
  <si>
    <t>≤3 s un producto; ≤10 s tres productos</t>
  </si>
  <si>
    <t>CP-031</t>
  </si>
  <si>
    <t>Sin JWT y luego rol sin permiso</t>
  </si>
  <si>
    <t>Rutas protegidas</t>
  </si>
  <si>
    <t>Solicitar API</t>
  </si>
  <si>
    <t>401 sin JWT; 403 sin permiso</t>
  </si>
  <si>
    <t>Matriz de trazabilidad requisitos–pruebas (E1.2)</t>
  </si>
  <si>
    <t>Se alimenta sola desde Requisitos y Catalogo. Tú completas: Casos de prueba (lista), Nivel/herramienta y Defectos. El estado y la cobertura se calculan.</t>
  </si>
  <si>
    <t>CP-032</t>
  </si>
  <si>
    <t>Convención</t>
  </si>
  <si>
    <t>SES F₂=D₁; Holt L₁=D₁, T₁=D₂−D₁; APE=|Real−Pronóstico|/Real×100. Validar con Producción.</t>
  </si>
  <si>
    <t>CP-001 a CP-010</t>
  </si>
  <si>
    <t>Casos de prueba (lista)</t>
  </si>
  <si>
    <t>Comparar con referencia</t>
  </si>
  <si>
    <t>N.º casos (auto)</t>
  </si>
  <si>
    <t>Diferencia dentro de tolerancia acordada</t>
  </si>
  <si>
    <t>0,01 % provisional</t>
  </si>
  <si>
    <t>Cobertura (auto)</t>
  </si>
  <si>
    <t>Nivel / herramienta</t>
  </si>
  <si>
    <t>Estado (auto)</t>
  </si>
  <si>
    <t>Defectos asociados</t>
  </si>
  <si>
    <t>CP-033</t>
  </si>
  <si>
    <t>Corregir valor</t>
  </si>
  <si>
    <t>Provisional: 0,01 % relativo en valores; 0,01 puntos en MAPE. Pendiente de firma.</t>
  </si>
  <si>
    <t>Consultar auditoría y dato</t>
  </si>
  <si>
    <t>Nuevo valor y original trazables</t>
  </si>
  <si>
    <t>CP-034</t>
  </si>
  <si>
    <t>Frontend</t>
  </si>
  <si>
    <t>Aceptación</t>
  </si>
  <si>
    <t>Exploratoria</t>
  </si>
  <si>
    <t>Usuarios de Producción</t>
  </si>
  <si>
    <t>Tareas principales</t>
  </si>
  <si>
    <t>Observar sin ayuda</t>
  </si>
  <si>
    <t>≥80 % de tareas completadas sin ayuda</t>
  </si>
  <si>
    <t>CP-035</t>
  </si>
  <si>
    <t>Navegador abierto</t>
  </si>
  <si>
    <t>Escritorio y tableta</t>
  </si>
  <si>
    <t>Navegar pantallas</t>
  </si>
  <si>
    <t>Funciones disponibles sin pérdida</t>
  </si>
  <si>
    <t>CP-036</t>
  </si>
  <si>
    <t>Base de datos con histórico de 24 meses cargado</t>
  </si>
  <si>
    <t>Consulta inicial del tablero principal</t>
  </si>
  <si>
    <t>Navegar al módulo de Indicadores y medir tiempo de respuesta con DevTools</t>
  </si>
  <si>
    <t>Tiempo de carga inicial e interactividad total &lt;= 2 s</t>
  </si>
  <si>
    <t>N/A</t>
  </si>
  <si>
    <t>CP-037</t>
  </si>
  <si>
    <t>Dataset de prueba masivo preparado</t>
  </si>
  <si>
    <t>50 productos con 60 períodos de demanda cada uno</t>
  </si>
  <si>
    <t>Importar dataset masivo y ejecutar cálculo global de modelos</t>
  </si>
  <si>
    <t>Sistema procesa y almacena los datos sin errores ni modificaciones de código</t>
  </si>
  <si>
    <t>CP-038</t>
  </si>
  <si>
    <t>Caja blanca</t>
  </si>
  <si>
    <t>Acceso a la base de datos de pruebas o inspección de persistencia</t>
  </si>
  <si>
    <t>Registro e inicio de sesión de nuevos usuarios</t>
  </si>
  <si>
    <t>Crear usuario con contraseña definida e inspeccionar la columna password en la BD</t>
  </si>
  <si>
    <t>Contraseña almacenada en formato Hash BCrypt ($2a, $2b, $2y) y nunca en texto plano</t>
  </si>
  <si>
    <t>CP-039</t>
  </si>
  <si>
    <t>Ambiente desplegado en servidor de pruebas / Staging</t>
  </si>
  <si>
    <t>Peticiones HTTP y vectores de inyección estándar</t>
  </si>
  <si>
    <t>Realizar solicitudes HTTP (redirigidas a HTTPS) e inyecciones de prueba en endpoints</t>
  </si>
  <si>
    <t>Todo el tráfico viaja forzado por HTTPS y se mitigan vulnerabilidades OWASP</t>
  </si>
  <si>
    <t>CP-040</t>
  </si>
  <si>
    <t>Herramienta de monitoreo/ping configurada en el servidor</t>
  </si>
  <si>
    <t>Monitoreo continuo de disponibilidad del servicio</t>
  </si>
  <si>
    <t>Registrar el uptime del servidor y disponibilidad del servicio durante el periodo evaluado</t>
  </si>
  <si>
    <t>Disponibilidad (Uptime) &gt;= 95% sin caídas críticas no planificadas</t>
  </si>
  <si>
    <t>CP-041</t>
  </si>
  <si>
    <t>Repositorio de código fuente disponible</t>
  </si>
  <si>
    <t>Estructura del código del módulo de pronósticos</t>
  </si>
  <si>
    <t>Inspeccionar la arquitectura backend y verificar las clases de cada modelo</t>
  </si>
  <si>
    <t>Capas (Controlador, Servicio, Repositorio) separadas y cada modelo en su clase</t>
  </si>
  <si>
    <t>CP-042</t>
  </si>
  <si>
    <t>Suite de pruebas unitarias (Jest / JUnit) lista para ejecutar</t>
  </si>
  <si>
    <t>Ejecución de cobertura en el módulo de motores de cálculo</t>
  </si>
  <si>
    <t>Ejecutar el comando de pruebas unitarias con reporte de cobertura habilitado</t>
  </si>
  <si>
    <t>Cobertura de código (Code Coverage) en lógica de pronóstico &gt;= 70%</t>
  </si>
  <si>
    <t>CP-043</t>
  </si>
  <si>
    <t>Archivos de entrada estructurados y datos listos para exportar</t>
  </si>
  <si>
    <t>Archivos CSV/XLSX de 24 períodos y descarga a PDF/XLSX</t>
  </si>
  <si>
    <t>Importar datos de entrada en formato CSV/XLSX y exportar reportes a PDF/XLSX</t>
  </si>
  <si>
    <t>La aplicación procesa la entrada e intercambia correctamente la salida en PDF/XLSX</t>
  </si>
  <si>
    <t>CP-044</t>
  </si>
  <si>
    <t>Docker Desktop / Docker Engine instalado en el equipo de prueba</t>
  </si>
  <si>
    <t>Archivo docker-compose.yml en la raíz del proyecto</t>
  </si>
  <si>
    <t>Ejecutar el comando docker-compose up desde la consola de comandos</t>
  </si>
  <si>
    <t>La aplicación y la base de datos se despliegan y quedan operativas en 1 solo comando</t>
  </si>
  <si>
    <t>CP-045</t>
  </si>
  <si>
    <t>Repositorio o directorio de documentación de arquitectura accesible</t>
  </si>
  <si>
    <t>Registro de decisiones de diseño (ADRs)</t>
  </si>
  <si>
    <t>Revisar la carpeta /docs/adr del proyecto y verificar registros arquitectónicos</t>
  </si>
  <si>
    <t>Existen archivos ADR documentando decisiones relevantes de arquitectura</t>
  </si>
  <si>
    <t>Matriz de riesgos (sección 7 del plan maestro)</t>
  </si>
  <si>
    <t>Exposición = probabilidad × impacto (escala 1 a 5). Nivel: Alto ≥ 15 · Medio 8–14 · Bajo &lt; 8. Las pruebas se priorizan por el nivel de riesgo.</t>
  </si>
  <si>
    <t>ID</t>
  </si>
  <si>
    <t>Riesgo</t>
  </si>
  <si>
    <t>Probabilidad (1-5)</t>
  </si>
  <si>
    <t>Impacto (1-5)</t>
  </si>
  <si>
    <t>Exposición</t>
  </si>
  <si>
    <t>Estrategia de prueba / mitigación</t>
  </si>
  <si>
    <t>Casos relacionados</t>
  </si>
  <si>
    <t>Estado</t>
  </si>
  <si>
    <t>R-01</t>
  </si>
  <si>
    <t>MAPE indeterminado o error cuando la demanda real es 0</t>
  </si>
  <si>
    <t>Producto</t>
  </si>
  <si>
    <t>Probar valores límite en demanda 0, verificando exclusión del período y alerta informativa</t>
  </si>
  <si>
    <t>CP-009, CP-028</t>
  </si>
  <si>
    <t>R-02</t>
  </si>
  <si>
    <t>Discrepancia en pronósticos frente al cálculo de referencia</t>
  </si>
  <si>
    <t>Pruebas de verificación numérica comparando resultados con la hoja Calculo_Referencia</t>
  </si>
  <si>
    <t>CP-001 a CP-006</t>
  </si>
  <si>
    <t>R-03</t>
  </si>
  <si>
    <t>Bypass de permisos por rol (respuestas sin HTTP 403)</t>
  </si>
  <si>
    <t>Pruebas de integración de la API cruzando los cuatro roles contra endpoints restringidos</t>
  </si>
  <si>
    <t>R-04</t>
  </si>
  <si>
    <t>Retraso o discrepancia en el Excel de referencia de Producción</t>
  </si>
  <si>
    <t>Proyecto</t>
  </si>
  <si>
    <t>Usar la serie sintética CAF-500 de respaldo para validar la lógica y pedir firma del Anexo B</t>
  </si>
  <si>
    <t>Resumen de cobertura (se calcula solo)</t>
  </si>
  <si>
    <t>R-05</t>
  </si>
  <si>
    <t>No escribas aquí. Sirve para revisar tu entrega antes de enviarla.</t>
  </si>
  <si>
    <t>Tiempo de respuesta elevado en cálculo masivo</t>
  </si>
  <si>
    <t>Indicador</t>
  </si>
  <si>
    <t>Total de requisitos</t>
  </si>
  <si>
    <t>Pruebas de carga y rendimiento con k6 simulando ejecuciones concurrentes</t>
  </si>
  <si>
    <t>R-06</t>
  </si>
  <si>
    <t>Pérdida de la serie original al imputar faltantes/atípicos</t>
  </si>
  <si>
    <t>Requisitos con al menos un caso</t>
  </si>
  <si>
    <t>Verificar que en la base de datos persista el dato original con su bandera de modificación</t>
  </si>
  <si>
    <t>CP-017, CP-025</t>
  </si>
  <si>
    <t>R-07</t>
  </si>
  <si>
    <t>Aceptación de archivos CSV con formato corrupto</t>
  </si>
  <si>
    <t>% de requisitos cubiertos</t>
  </si>
  <si>
    <t>Probar carga masiva con archivos corruptos, verificando el rechazo e informe de filas inválidas</t>
  </si>
  <si>
    <t>R-08</t>
  </si>
  <si>
    <t>Fallo en la generación de reportes PDF/Excel</t>
  </si>
  <si>
    <t>Requisitos sin cobertura</t>
  </si>
  <si>
    <t>Descargar reportes PDF/XLSX y comparar automáticamente los valores generados contra pantalla</t>
  </si>
  <si>
    <t>R-09</t>
  </si>
  <si>
    <t>Indisponibilidad del ambiente Docker / BD de pruebas</t>
  </si>
  <si>
    <t>Casos de prueba totales</t>
  </si>
  <si>
    <t>Casos de verificación numérica</t>
  </si>
  <si>
    <t>Casos "huérfanos" (requisito inexistente)</t>
  </si>
  <si>
    <t>Despliegue automatizado con Docker Compose y pipelines en GitHub Actions para reabrir en 1 comando</t>
  </si>
  <si>
    <t>R-10</t>
  </si>
  <si>
    <t>Carga inicial de tableros supera los 2 segundos</t>
  </si>
  <si>
    <t>Medir latencias de carga inicial del dashboard y evaluar paginación / caché de datos</t>
  </si>
  <si>
    <t>¿Mínimo 20 casos?</t>
  </si>
  <si>
    <t>CP-026, CP-034</t>
  </si>
  <si>
    <t>R-11</t>
  </si>
  <si>
    <t>Umbrales de alerta de desviación no se activan</t>
  </si>
  <si>
    <t>¿Mínimo 8 casos de verificación numérica?</t>
  </si>
  <si>
    <t>Configurar umbrales límite e ingresar series con alto error para validar el disparo de alertas</t>
  </si>
  <si>
    <t>R-12</t>
  </si>
  <si>
    <t>Registro de duplicados en producto-período</t>
  </si>
  <si>
    <t>¿100 % de requisitos con caso de prueba?</t>
  </si>
  <si>
    <t>Intentar ingresar un registro manual con mismo producto y período, verificando la restricción de BD</t>
  </si>
  <si>
    <t>R-13</t>
  </si>
  <si>
    <t>Contraseñas almacenadas en texto plano en la BD</t>
  </si>
  <si>
    <t>Requisitos</t>
  </si>
  <si>
    <t>Con caso</t>
  </si>
  <si>
    <t>% cubierto</t>
  </si>
  <si>
    <t>Inspeccionar la base de datos de pruebas para validar el uso de algoritmos BCrypt con sal</t>
  </si>
  <si>
    <t>R-14</t>
  </si>
  <si>
    <t>Incompatibilidad visual en dispositivos móviles/tabletas</t>
  </si>
  <si>
    <t>Ejecutar pruebas de usabilidad y diseño responsivo en resoluciones de escritorio y tableta</t>
  </si>
  <si>
    <t>R-15</t>
  </si>
  <si>
    <t>Historial de ejecuciones no guarda el parámetro exacto</t>
  </si>
  <si>
    <t>Ejecutar un modelo de pronóstico y consultar el historial para verificar la reproducibilidad de los datos</t>
  </si>
  <si>
    <t>R-16</t>
  </si>
  <si>
    <t>Caducidad o no expiración del token JWT de sesión</t>
  </si>
  <si>
    <t>Validar la caducidad del token por inactividad y la denegación de peticiones con tokens expirados</t>
  </si>
  <si>
    <t>R-17</t>
  </si>
  <si>
    <t>Aceptación de parámetros invalidados (alpha/beta fuera de 0 a 1 o pesos &lt;&gt; 1)</t>
  </si>
  <si>
    <t>Ingresar valores como alpha=1.5 o pesos con suma diferente a 1.0 para validar rechazo en backend</t>
  </si>
  <si>
    <t>CP-008, CP-011</t>
  </si>
  <si>
    <t>R-18</t>
  </si>
  <si>
    <t>Fallo o desfase en el cálculo del gráfico Pronóstico vs Real con sesgo</t>
  </si>
  <si>
    <t>Superponer gráficamente ambas series y comparar el sesgo acumulado contra el valor esperado</t>
  </si>
  <si>
    <t>R-19</t>
  </si>
  <si>
    <t>Sobrepaso de capacidad disponible no resaltado en el Plan Agregado</t>
  </si>
  <si>
    <t>Configurar escenarios de demanda que superen la capacidad del centro y validar resaltado visual</t>
  </si>
  <si>
    <t>R-20</t>
  </si>
  <si>
    <t>Fallo en la auditoría de acciones críticas por usuario/fecha</t>
  </si>
  <si>
    <t>Veredicto de los casos</t>
  </si>
  <si>
    <t>APROBADO</t>
  </si>
  <si>
    <t>FALLIDO</t>
  </si>
  <si>
    <t>BLOQUEADO</t>
  </si>
  <si>
    <t>Ejecutar operaciones como carga masiva o cambio de rol y consultar el log del sistema</t>
  </si>
  <si>
    <t>Tipo de riesgo</t>
  </si>
  <si>
    <t>Escala 1-5</t>
  </si>
  <si>
    <t>Usabilidad</t>
  </si>
  <si>
    <t>Hoja de apoyo: alimenta las listas desplegables. No la modifiques.</t>
  </si>
  <si>
    <t>Recuerda: mínimo 20 casos y 8 de verificación numérica (ver hoja Cobertura). Los casos de límite y de roles dependen de reglas que debes acordar con Producción; márcalas como "a acordar" mientras tanto.</t>
  </si>
  <si>
    <t>En tu entrega no puede quedar ningún requisito funcional SIN COBERTURA.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</si>
</sst>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%"/>
  </numFmts>
  <fonts count="16">
    <font>
      <sz val="11.0"/>
      <color theme="1"/>
      <name val="Calibri"/>
      <scheme val="minor"/>
    </font>
    <font>
      <b/>
      <sz val="14.0"/>
      <color rgb="FF1F3864"/>
      <name val="Arial"/>
    </font>
    <font>
      <i/>
      <sz val="9.0"/>
      <color rgb="FF595959"/>
      <name val="Arial"/>
    </font>
    <font>
      <sz val="11.0"/>
      <color rgb="FF000000"/>
      <name val="&quot;Aptos Narrow&quot;"/>
    </font>
    <font>
      <b/>
      <sz val="10.0"/>
      <color rgb="FFFFFFFF"/>
      <name val="Arial"/>
    </font>
    <font>
      <sz val="11.0"/>
      <color rgb="FF000000"/>
      <name val="&quot;Times New Roman&quot;"/>
    </font>
    <font>
      <sz val="10.0"/>
      <color rgb="FF0000FF"/>
      <name val="Arial"/>
    </font>
    <font>
      <sz val="11.0"/>
      <color theme="1"/>
      <name val="&quot;Aptos Narrow&quot;"/>
    </font>
    <font/>
    <font>
      <b/>
      <sz val="11.0"/>
      <color rgb="FF000000"/>
      <name val="&quot;Aptos Narrow&quot;"/>
    </font>
    <font>
      <sz val="10.0"/>
      <color theme="1"/>
      <name val="Arial"/>
    </font>
    <font>
      <color theme="1"/>
      <name val="Calibri"/>
      <scheme val="minor"/>
    </font>
    <font>
      <b/>
      <sz val="11.0"/>
      <color rgb="FF1F3864"/>
      <name val="Arial"/>
    </font>
    <font>
      <sz val="10.0"/>
      <color rgb="FF000000"/>
      <name val="Arial"/>
    </font>
    <font>
      <b/>
      <sz val="10.0"/>
      <color theme="1"/>
      <name val="Arial"/>
    </font>
    <font>
      <sz val="11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7C7AC"/>
        <bgColor rgb="FFF7C7AC"/>
      </patternFill>
    </fill>
    <fill>
      <patternFill patternType="solid">
        <fgColor rgb="FF83E28E"/>
        <bgColor rgb="FF83E28E"/>
      </patternFill>
    </fill>
    <fill>
      <patternFill patternType="solid">
        <fgColor rgb="FF61CBF3"/>
        <bgColor rgb="FF61CBF3"/>
      </patternFill>
    </fill>
    <fill>
      <patternFill patternType="solid">
        <fgColor rgb="FFFBE2D5"/>
        <bgColor rgb="FFFBE2D5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11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top" wrapText="1"/>
    </xf>
    <xf borderId="2" fillId="3" fontId="5" numFmtId="0" xfId="0" applyAlignment="1" applyBorder="1" applyFill="1" applyFont="1">
      <alignment readingOrder="0" shrinkToFit="0" vertical="bottom" wrapText="0"/>
    </xf>
    <xf borderId="3" fillId="3" fontId="5" numFmtId="0" xfId="0" applyAlignment="1" applyBorder="1" applyFill="1" applyFont="1">
      <alignment readingOrder="0" shrinkToFit="0" vertical="bottom" wrapText="0"/>
    </xf>
    <xf borderId="3" fillId="3" fontId="5" numFmtId="0" xfId="0" applyAlignment="1" applyBorder="1" applyFill="1" applyFont="1">
      <alignment shrinkToFit="0" vertical="bottom" wrapText="0"/>
    </xf>
    <xf borderId="1" fillId="0" fontId="6" numFmtId="0" xfId="0" applyAlignment="1" applyBorder="1" applyFont="1">
      <alignment readingOrder="0" shrinkToFit="0" vertical="top" wrapText="1"/>
    </xf>
    <xf borderId="0" fillId="3" fontId="3" numFmtId="0" xfId="0" applyAlignment="1" applyFill="1" applyFont="1">
      <alignment shrinkToFit="0" vertical="bottom" wrapText="0"/>
    </xf>
    <xf borderId="2" fillId="4" fontId="7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4" fillId="4" fontId="7" numFmtId="0" xfId="0" applyAlignment="1" applyBorder="1" applyFill="1" applyFont="1">
      <alignment horizontal="center" readingOrder="0" shrinkToFit="0" vertical="bottom" wrapText="0"/>
    </xf>
    <xf borderId="4" fillId="0" fontId="8" numFmtId="0" xfId="0" applyBorder="1" applyFont="1"/>
    <xf borderId="0" fillId="0" fontId="2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horizontal="center" readingOrder="0" shrinkToFit="0" vertical="top" wrapText="1"/>
    </xf>
    <xf borderId="0" fillId="5" fontId="3" numFmtId="0" xfId="0" applyAlignment="1" applyFill="1" applyFont="1">
      <alignment readingOrder="0" shrinkToFit="0" vertical="bottom" wrapText="0"/>
    </xf>
    <xf borderId="5" fillId="5" fontId="3" numFmtId="0" xfId="0" applyAlignment="1" applyBorder="1" applyFill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top" wrapText="1"/>
    </xf>
    <xf borderId="0" fillId="0" fontId="9" numFmtId="0" xfId="0" applyAlignment="1" applyFont="1">
      <alignment shrinkToFit="0" vertical="bottom" wrapText="0"/>
    </xf>
    <xf borderId="2" fillId="6" fontId="9" numFmtId="0" xfId="0" applyAlignment="1" applyBorder="1" applyFill="1" applyFont="1">
      <alignment horizontal="center" readingOrder="0" shrinkToFit="0" wrapText="0"/>
    </xf>
    <xf borderId="3" fillId="6" fontId="9" numFmtId="0" xfId="0" applyAlignment="1" applyBorder="1" applyFill="1" applyFont="1">
      <alignment horizontal="center" readingOrder="0" shrinkToFit="0" wrapText="0"/>
    </xf>
    <xf borderId="2" fillId="7" fontId="9" numFmtId="0" xfId="0" applyAlignment="1" applyBorder="1" applyFill="1" applyFont="1">
      <alignment horizontal="center" readingOrder="0" shrinkToFit="0" wrapText="0"/>
    </xf>
    <xf borderId="1" fillId="0" fontId="10" numFmtId="0" xfId="0" applyAlignment="1" applyBorder="1" applyFont="1">
      <alignment horizontal="center" readingOrder="0" shrinkToFit="0" vertical="top" wrapText="1"/>
    </xf>
    <xf borderId="6" fillId="7" fontId="9" numFmtId="0" xfId="0" applyAlignment="1" applyBorder="1" applyFill="1" applyFont="1">
      <alignment horizontal="center" readingOrder="0" shrinkToFit="0" wrapText="0"/>
    </xf>
    <xf borderId="1" fillId="0" fontId="6" numFmtId="2" xfId="0" applyAlignment="1" applyBorder="1" applyFont="1" applyNumberFormat="1">
      <alignment horizontal="center" readingOrder="0" shrinkToFit="0" vertical="top" wrapText="1"/>
    </xf>
    <xf borderId="3" fillId="7" fontId="9" numFmtId="0" xfId="0" applyAlignment="1" applyBorder="1" applyFill="1" applyFont="1">
      <alignment horizontal="center" readingOrder="0" shrinkToFit="0" wrapText="0"/>
    </xf>
    <xf borderId="2" fillId="8" fontId="9" numFmtId="0" xfId="0" applyAlignment="1" applyBorder="1" applyFill="1" applyFont="1">
      <alignment horizontal="center" readingOrder="0" shrinkToFit="0" wrapText="0"/>
    </xf>
    <xf borderId="6" fillId="8" fontId="9" numFmtId="0" xfId="0" applyAlignment="1" applyBorder="1" applyFill="1" applyFont="1">
      <alignment horizontal="center" readingOrder="0" shrinkToFit="0" wrapText="0"/>
    </xf>
    <xf borderId="3" fillId="8" fontId="9" numFmtId="0" xfId="0" applyAlignment="1" applyBorder="1" applyFill="1" applyFont="1">
      <alignment horizontal="center" readingOrder="0" shrinkToFit="0" wrapText="0"/>
    </xf>
    <xf borderId="2" fillId="6" fontId="9" numFmtId="0" xfId="0" applyAlignment="1" applyBorder="1" applyFill="1" applyFont="1">
      <alignment horizontal="right"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2" fillId="9" fontId="7" numFmtId="0" xfId="0" applyAlignment="1" applyBorder="1" applyFill="1" applyFont="1">
      <alignment horizontal="center" readingOrder="0"/>
    </xf>
    <xf borderId="7" fillId="9" fontId="3" numFmtId="0" xfId="0" applyAlignment="1" applyBorder="1" applyFill="1" applyFont="1">
      <alignment horizontal="center" readingOrder="0" shrinkToFit="0" wrapText="0"/>
    </xf>
    <xf borderId="2" fillId="9" fontId="3" numFmtId="0" xfId="0" applyAlignment="1" applyBorder="1" applyFill="1" applyFont="1">
      <alignment horizontal="center" readingOrder="0" shrinkToFit="0" wrapText="0"/>
    </xf>
    <xf borderId="0" fillId="0" fontId="11" numFmtId="2" xfId="0" applyFont="1" applyNumberFormat="1"/>
    <xf borderId="2" fillId="7" fontId="9" numFmtId="0" xfId="0" applyAlignment="1" applyBorder="1" applyFill="1" applyFont="1">
      <alignment horizontal="right" readingOrder="0" shrinkToFit="0" vertical="bottom" wrapText="0"/>
    </xf>
    <xf borderId="2" fillId="8" fontId="9" numFmtId="0" xfId="0" applyAlignment="1" applyBorder="1" applyFill="1" applyFont="1">
      <alignment horizontal="right"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8" fillId="9" fontId="3" numFmtId="0" xfId="0" applyAlignment="1" applyBorder="1" applyFill="1" applyFont="1">
      <alignment horizontal="center" readingOrder="0" shrinkToFit="0" wrapText="0"/>
    </xf>
    <xf borderId="0" fillId="0" fontId="12" numFmtId="0" xfId="0" applyAlignment="1" applyFont="1">
      <alignment shrinkToFit="0" vertical="top" wrapText="1"/>
    </xf>
    <xf borderId="0" fillId="0" fontId="13" numFmtId="0" xfId="0" applyAlignment="1" applyFont="1">
      <alignment shrinkToFit="0" vertical="top" wrapText="1"/>
    </xf>
    <xf borderId="2" fillId="9" fontId="3" numFmtId="10" xfId="0" applyAlignment="1" applyBorder="1" applyFill="1" applyFont="1" applyNumberFormat="1">
      <alignment horizontal="center" readingOrder="0" shrinkToFit="0" wrapText="0"/>
    </xf>
    <xf borderId="0" fillId="0" fontId="11" numFmtId="0" xfId="0" applyFont="1"/>
    <xf borderId="1" fillId="0" fontId="10" numFmtId="0" xfId="0" applyAlignment="1" applyBorder="1" applyFont="1">
      <alignment readingOrder="0" shrinkToFit="0" vertical="top" wrapText="1"/>
    </xf>
    <xf borderId="8" fillId="9" fontId="3" numFmtId="3" xfId="0" applyAlignment="1" applyBorder="1" applyFill="1" applyFont="1" applyNumberFormat="1">
      <alignment horizontal="center" readingOrder="0" shrinkToFit="0" wrapText="0"/>
    </xf>
    <xf borderId="1" fillId="10" fontId="6" numFmtId="2" xfId="0" applyAlignment="1" applyBorder="1" applyFill="1" applyFont="1" applyNumberFormat="1">
      <alignment horizontal="center"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10" numFmtId="164" xfId="0" applyAlignment="1" applyBorder="1" applyFont="1" applyNumberFormat="1">
      <alignment horizontal="center" shrinkToFit="0" vertical="top" wrapText="1"/>
    </xf>
    <xf borderId="1" fillId="0" fontId="10" numFmtId="10" xfId="0" applyAlignment="1" applyBorder="1" applyFont="1" applyNumberFormat="1">
      <alignment horizontal="center" shrinkToFit="0" vertical="top" wrapText="1"/>
    </xf>
    <xf borderId="1" fillId="11" fontId="10" numFmtId="0" xfId="0" applyAlignment="1" applyBorder="1" applyFill="1" applyFont="1">
      <alignment horizontal="center" readingOrder="0" shrinkToFit="0" vertical="top" wrapText="1"/>
    </xf>
    <xf borderId="2" fillId="0" fontId="5" numFmtId="0" xfId="0" applyAlignment="1" applyBorder="1" applyFont="1">
      <alignment readingOrder="0" shrinkToFit="0" vertical="bottom" wrapText="0"/>
    </xf>
    <xf borderId="0" fillId="0" fontId="11" numFmtId="0" xfId="0" applyAlignment="1" applyFont="1">
      <alignment readingOrder="0"/>
    </xf>
    <xf borderId="0" fillId="0" fontId="11" numFmtId="164" xfId="0" applyFont="1" applyNumberFormat="1"/>
    <xf borderId="1" fillId="0" fontId="6" numFmtId="0" xfId="0" applyAlignment="1" applyBorder="1" applyFont="1">
      <alignment horizontal="center" readingOrder="0" shrinkToFit="0" vertical="top" wrapText="1"/>
    </xf>
    <xf borderId="1" fillId="0" fontId="14" numFmtId="164" xfId="0" applyAlignment="1" applyBorder="1" applyFont="1" applyNumberFormat="1">
      <alignment horizontal="center" readingOrder="0" shrinkToFit="0" vertical="top" wrapText="1"/>
    </xf>
    <xf borderId="2" fillId="9" fontId="15" numFmtId="10" xfId="0" applyAlignment="1" applyBorder="1" applyFill="1" applyFont="1" applyNumberFormat="1">
      <alignment horizontal="center" readingOrder="0" shrinkToFit="0" wrapText="0"/>
    </xf>
    <xf borderId="1" fillId="0" fontId="6" numFmtId="164" xfId="0" applyAlignment="1" applyBorder="1" applyFont="1" applyNumberFormat="1">
      <alignment horizontal="center" shrinkToFit="0" vertical="top" wrapText="1"/>
    </xf>
    <xf borderId="1" fillId="10" fontId="6" numFmtId="0" xfId="0" applyAlignment="1" applyBorder="1" applyFill="1" applyFont="1">
      <alignment horizontal="center" shrinkToFit="0" vertical="top" wrapText="1"/>
    </xf>
    <xf borderId="2" fillId="9" fontId="3" numFmtId="0" xfId="0" applyAlignment="1" applyBorder="1" applyFill="1" applyFont="1">
      <alignment horizontal="center" shrinkToFit="0" wrapText="0"/>
    </xf>
    <xf borderId="2" fillId="9" fontId="7" numFmtId="0" xfId="0" applyAlignment="1" applyBorder="1" applyFill="1" applyFont="1">
      <alignment horizontal="center"/>
    </xf>
    <xf borderId="8" fillId="9" fontId="3" numFmtId="0" xfId="0" applyAlignment="1" applyBorder="1" applyFill="1" applyFont="1">
      <alignment horizontal="center" shrinkToFit="0" wrapText="0"/>
    </xf>
    <xf borderId="1" fillId="0" fontId="10" numFmtId="0" xfId="0" applyAlignment="1" applyBorder="1" applyFont="1">
      <alignment shrinkToFit="0" vertical="top" wrapText="1"/>
    </xf>
    <xf borderId="2" fillId="9" fontId="15" numFmtId="0" xfId="0" applyAlignment="1" applyBorder="1" applyFill="1" applyFont="1">
      <alignment horizontal="center" readingOrder="0" shrinkToFit="0" wrapText="0"/>
    </xf>
    <xf borderId="1" fillId="0" fontId="14" numFmtId="164" xfId="0" applyAlignment="1" applyBorder="1" applyFont="1" applyNumberFormat="1">
      <alignment horizontal="center" shrinkToFit="0" vertical="top" wrapText="1"/>
    </xf>
    <xf borderId="0" fillId="0" fontId="3" numFmtId="0" xfId="0" applyAlignment="1" applyFont="1">
      <alignment horizontal="center" shrinkToFit="0" wrapText="0"/>
    </xf>
    <xf borderId="0" fillId="0" fontId="7" numFmtId="0" xfId="0" applyAlignment="1" applyFont="1">
      <alignment horizontal="center"/>
    </xf>
    <xf borderId="9" fillId="9" fontId="3" numFmtId="0" xfId="0" applyAlignment="1" applyBorder="1" applyFill="1" applyFont="1">
      <alignment horizontal="center" shrinkToFit="0" wrapText="0"/>
    </xf>
    <xf borderId="6" fillId="9" fontId="7" numFmtId="0" xfId="0" applyAlignment="1" applyBorder="1" applyFill="1" applyFont="1">
      <alignment horizontal="center"/>
    </xf>
    <xf borderId="6" fillId="9" fontId="3" numFmtId="0" xfId="0" applyAlignment="1" applyBorder="1" applyFill="1" applyFont="1">
      <alignment horizontal="center" shrinkToFit="0" wrapText="0"/>
    </xf>
    <xf borderId="6" fillId="6" fontId="9" numFmtId="0" xfId="0" applyAlignment="1" applyBorder="1" applyFill="1" applyFont="1">
      <alignment horizontal="center" readingOrder="0" shrinkToFit="0" wrapText="0"/>
    </xf>
    <xf borderId="6" fillId="9" fontId="15" numFmtId="10" xfId="0" applyAlignment="1" applyBorder="1" applyFill="1" applyFont="1" applyNumberFormat="1">
      <alignment horizontal="center" readingOrder="0" shrinkToFit="0" wrapText="0"/>
    </xf>
    <xf borderId="1" fillId="0" fontId="14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6" fillId="9" fontId="3" numFmtId="10" xfId="0" applyAlignment="1" applyBorder="1" applyFill="1" applyFont="1" applyNumberFormat="1">
      <alignment horizontal="center" readingOrder="0" shrinkToFit="0" wrapText="0"/>
    </xf>
    <xf borderId="0" fillId="0" fontId="3" numFmtId="0" xfId="0" applyAlignment="1" applyFont="1">
      <alignment horizontal="left" shrinkToFit="0" vertical="top" wrapText="0"/>
    </xf>
    <xf borderId="1" fillId="0" fontId="10" numFmtId="0" xfId="0" applyAlignment="1" applyBorder="1" applyFont="1">
      <alignment horizontal="center" shrinkToFit="0" vertical="top" wrapText="1"/>
    </xf>
    <xf borderId="1" fillId="0" fontId="14" numFmtId="1" xfId="0" applyAlignment="1" applyBorder="1" applyFont="1" applyNumberFormat="1">
      <alignment horizontal="center" shrinkToFit="0" vertical="top" wrapText="1"/>
    </xf>
    <xf borderId="1" fillId="0" fontId="14" numFmtId="165" xfId="0" applyAlignment="1" applyBorder="1" applyFont="1" applyNumberFormat="1">
      <alignment horizontal="center" shrinkToFit="0" vertical="top" wrapText="1"/>
    </xf>
    <xf borderId="1" fillId="0" fontId="14" numFmtId="49" xfId="0" applyAlignment="1" applyBorder="1" applyFont="1" applyNumberFormat="1">
      <alignment horizontal="center" shrinkToFit="0" vertical="top" wrapText="1"/>
    </xf>
    <xf borderId="1" fillId="0" fontId="10" numFmtId="9" xfId="0" applyAlignment="1" applyBorder="1" applyFont="1" applyNumberFormat="1">
      <alignment horizontal="center" shrinkToFit="0" vertical="top" wrapText="1"/>
    </xf>
    <xf borderId="10" fillId="2" fontId="4" numFmtId="0" xfId="0" applyAlignment="1" applyBorder="1" applyFill="1" applyFont="1">
      <alignment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Requisitos y casos por módulo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Requisitos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Cobertura!$A$18:$A$22</c:f>
            </c:strRef>
          </c:cat>
          <c:val>
            <c:numRef>
              <c:f>Cobertura!$B$18:$B$22</c:f>
              <c:numCache/>
            </c:numRef>
          </c:val>
        </c:ser>
        <c:ser>
          <c:idx val="1"/>
          <c:order val="1"/>
          <c:tx>
            <c:v>Con caso</c:v>
          </c:tx>
          <c:spPr>
            <a:solidFill>
              <a:srgbClr val="C0504D"/>
            </a:solidFill>
            <a:ln cmpd="sng">
              <a:noFill/>
            </a:ln>
          </c:spPr>
          <c:invertIfNegative val="0"/>
          <c:cat>
            <c:strRef>
              <c:f>Cobertura!$A$18:$A$22</c:f>
            </c:strRef>
          </c:cat>
          <c:val>
            <c:numRef>
              <c:f>Cobertura!$C$18:$C$22</c:f>
              <c:numCache/>
            </c:numRef>
          </c:val>
        </c:ser>
        <c:axId val="844347428"/>
        <c:axId val="162484119"/>
      </c:barChart>
      <c:catAx>
        <c:axId val="844347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2484119"/>
      </c:catAx>
      <c:valAx>
        <c:axId val="162484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4434742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962025</xdr:colOff>
      <xdr:row>37</xdr:row>
      <xdr:rowOff>190500</xdr:rowOff>
    </xdr:from>
    <xdr:ext cx="6734175" cy="3048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952500</xdr:colOff>
      <xdr:row>37</xdr:row>
      <xdr:rowOff>190500</xdr:rowOff>
    </xdr:from>
    <xdr:ext cx="6734175" cy="30480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152400</xdr:rowOff>
    </xdr:from>
    <xdr:ext cx="5476875" cy="3000375"/>
    <xdr:graphicFrame>
      <xdr:nvGraphicFramePr>
        <xdr:cNvPr id="204102368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20.0"/>
    <col customWidth="1" min="3" max="26" width="8.71"/>
  </cols>
  <sheetData>
    <row r="1">
      <c r="B1" s="1" t="s">
        <v>1</v>
      </c>
    </row>
    <row r="2">
      <c r="B2" s="2" t="s">
        <v>105</v>
      </c>
    </row>
    <row r="4">
      <c r="B4" s="40" t="s">
        <v>108</v>
      </c>
    </row>
    <row r="5">
      <c r="B5" s="41" t="s">
        <v>112</v>
      </c>
    </row>
    <row r="6">
      <c r="B6" s="41"/>
    </row>
    <row r="7">
      <c r="B7" s="40" t="s">
        <v>114</v>
      </c>
    </row>
    <row r="8">
      <c r="B8" s="41" t="s">
        <v>118</v>
      </c>
    </row>
    <row r="9">
      <c r="B9" s="41" t="s">
        <v>119</v>
      </c>
    </row>
    <row r="10">
      <c r="B10" s="41" t="s">
        <v>121</v>
      </c>
    </row>
    <row r="11">
      <c r="B11" s="41" t="s">
        <v>123</v>
      </c>
    </row>
    <row r="12">
      <c r="B12" s="41" t="s">
        <v>124</v>
      </c>
    </row>
    <row r="13">
      <c r="B13" s="41" t="s">
        <v>127</v>
      </c>
    </row>
    <row r="14">
      <c r="B14" s="41" t="s">
        <v>128</v>
      </c>
    </row>
    <row r="15">
      <c r="B15" s="41" t="s">
        <v>129</v>
      </c>
    </row>
    <row r="16">
      <c r="B16" s="41"/>
    </row>
    <row r="17">
      <c r="B17" s="40" t="s">
        <v>132</v>
      </c>
    </row>
    <row r="18">
      <c r="B18" s="41" t="s">
        <v>133</v>
      </c>
    </row>
    <row r="19">
      <c r="B19" s="41"/>
    </row>
    <row r="20">
      <c r="B20" s="40" t="s">
        <v>136</v>
      </c>
    </row>
    <row r="21" ht="15.75" customHeight="1">
      <c r="B21" s="41" t="s">
        <v>155</v>
      </c>
    </row>
    <row r="22" ht="15.75" customHeight="1">
      <c r="B22" s="41" t="s">
        <v>156</v>
      </c>
    </row>
    <row r="23" ht="15.75" customHeight="1">
      <c r="B23" s="41" t="s">
        <v>157</v>
      </c>
    </row>
    <row r="24" ht="15.75" customHeight="1">
      <c r="B24" s="41" t="s">
        <v>158</v>
      </c>
    </row>
    <row r="25" ht="15.75" customHeight="1">
      <c r="B25" s="41" t="s">
        <v>160</v>
      </c>
    </row>
    <row r="26" ht="15.75" customHeight="1">
      <c r="B26" s="41" t="s">
        <v>161</v>
      </c>
    </row>
    <row r="27" ht="15.75" customHeight="1">
      <c r="B27" s="41" t="s">
        <v>162</v>
      </c>
    </row>
    <row r="28" ht="15.75" customHeight="1">
      <c r="B28" s="41"/>
    </row>
    <row r="29" ht="15.75" customHeight="1">
      <c r="B29" s="40" t="s">
        <v>163</v>
      </c>
    </row>
    <row r="30" ht="15.75" customHeight="1">
      <c r="B30" s="41" t="s">
        <v>164</v>
      </c>
    </row>
    <row r="31" ht="15.75" customHeight="1">
      <c r="B31" s="41" t="s">
        <v>165</v>
      </c>
    </row>
    <row r="32" ht="15.75" customHeight="1">
      <c r="B32" s="41" t="s">
        <v>167</v>
      </c>
    </row>
    <row r="33" ht="15.75" customHeight="1">
      <c r="B33" s="41" t="s">
        <v>168</v>
      </c>
    </row>
    <row r="34" ht="15.75" customHeight="1">
      <c r="B34" s="41"/>
    </row>
    <row r="35" ht="15.75" customHeight="1">
      <c r="B35" s="40" t="s">
        <v>169</v>
      </c>
    </row>
    <row r="36" ht="15.75" customHeight="1">
      <c r="B36" s="41" t="s">
        <v>170</v>
      </c>
    </row>
    <row r="37" ht="15.75" customHeight="1">
      <c r="B37" s="41" t="s">
        <v>171</v>
      </c>
    </row>
    <row r="38" ht="15.75" customHeight="1">
      <c r="B38" s="41" t="s">
        <v>172</v>
      </c>
    </row>
    <row r="39" ht="15.75" customHeight="1">
      <c r="B39" s="41" t="s">
        <v>173</v>
      </c>
    </row>
    <row r="40" ht="15.75" customHeight="1">
      <c r="B40" s="41" t="s">
        <v>175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70.0"/>
    <col customWidth="1" min="3" max="3" width="24.0"/>
    <col customWidth="1" min="4" max="4" width="16.0"/>
    <col customWidth="1" min="5" max="5" width="12.0"/>
    <col customWidth="1" min="6" max="26" width="8.71"/>
  </cols>
  <sheetData>
    <row r="1">
      <c r="A1" s="1" t="s">
        <v>0</v>
      </c>
    </row>
    <row r="2">
      <c r="A2" s="2" t="s">
        <v>2</v>
      </c>
    </row>
    <row r="4" ht="31.5" customHeight="1">
      <c r="A4" s="4" t="s">
        <v>3</v>
      </c>
      <c r="B4" s="4" t="s">
        <v>5</v>
      </c>
      <c r="C4" s="4" t="s">
        <v>6</v>
      </c>
      <c r="D4" s="4" t="s">
        <v>8</v>
      </c>
      <c r="E4" s="4" t="s">
        <v>9</v>
      </c>
    </row>
    <row r="5">
      <c r="A5" s="8" t="s">
        <v>10</v>
      </c>
      <c r="B5" s="8" t="s">
        <v>11</v>
      </c>
      <c r="C5" s="8" t="s">
        <v>16</v>
      </c>
      <c r="D5" s="8" t="s">
        <v>18</v>
      </c>
      <c r="E5" s="8" t="s">
        <v>23</v>
      </c>
    </row>
    <row r="6">
      <c r="A6" s="8" t="s">
        <v>25</v>
      </c>
      <c r="B6" s="8" t="s">
        <v>26</v>
      </c>
      <c r="C6" s="8" t="s">
        <v>16</v>
      </c>
      <c r="D6" s="8" t="s">
        <v>18</v>
      </c>
      <c r="E6" s="8" t="s">
        <v>23</v>
      </c>
    </row>
    <row r="7">
      <c r="A7" s="8" t="s">
        <v>30</v>
      </c>
      <c r="B7" s="8" t="s">
        <v>31</v>
      </c>
      <c r="C7" s="8" t="s">
        <v>16</v>
      </c>
      <c r="D7" s="8" t="s">
        <v>18</v>
      </c>
      <c r="E7" s="8" t="s">
        <v>23</v>
      </c>
    </row>
    <row r="8">
      <c r="A8" s="8" t="s">
        <v>33</v>
      </c>
      <c r="B8" s="8" t="s">
        <v>35</v>
      </c>
      <c r="C8" s="8" t="s">
        <v>37</v>
      </c>
      <c r="D8" s="8" t="s">
        <v>18</v>
      </c>
      <c r="E8" s="8" t="s">
        <v>23</v>
      </c>
    </row>
    <row r="9">
      <c r="A9" s="8" t="s">
        <v>40</v>
      </c>
      <c r="B9" s="8" t="s">
        <v>41</v>
      </c>
      <c r="C9" s="8" t="s">
        <v>37</v>
      </c>
      <c r="D9" s="8" t="s">
        <v>18</v>
      </c>
      <c r="E9" s="8" t="s">
        <v>23</v>
      </c>
    </row>
    <row r="10">
      <c r="A10" s="8" t="s">
        <v>46</v>
      </c>
      <c r="B10" s="8" t="s">
        <v>47</v>
      </c>
      <c r="C10" s="8" t="s">
        <v>37</v>
      </c>
      <c r="D10" s="8" t="s">
        <v>18</v>
      </c>
      <c r="E10" s="8" t="s">
        <v>23</v>
      </c>
    </row>
    <row r="11">
      <c r="A11" s="8" t="s">
        <v>52</v>
      </c>
      <c r="B11" s="8" t="s">
        <v>54</v>
      </c>
      <c r="C11" s="8" t="s">
        <v>37</v>
      </c>
      <c r="D11" s="8" t="s">
        <v>18</v>
      </c>
      <c r="E11" s="8" t="s">
        <v>56</v>
      </c>
    </row>
    <row r="12">
      <c r="A12" s="8" t="s">
        <v>57</v>
      </c>
      <c r="B12" s="8" t="s">
        <v>58</v>
      </c>
      <c r="C12" s="8" t="s">
        <v>37</v>
      </c>
      <c r="D12" s="8" t="s">
        <v>18</v>
      </c>
      <c r="E12" s="8" t="s">
        <v>56</v>
      </c>
    </row>
    <row r="13">
      <c r="A13" s="8" t="s">
        <v>59</v>
      </c>
      <c r="B13" s="8" t="s">
        <v>60</v>
      </c>
      <c r="C13" s="8" t="s">
        <v>37</v>
      </c>
      <c r="D13" s="8" t="s">
        <v>18</v>
      </c>
      <c r="E13" s="8" t="s">
        <v>23</v>
      </c>
    </row>
    <row r="14">
      <c r="A14" s="8" t="s">
        <v>61</v>
      </c>
      <c r="B14" s="8" t="s">
        <v>62</v>
      </c>
      <c r="C14" s="8" t="s">
        <v>63</v>
      </c>
      <c r="D14" s="8" t="s">
        <v>18</v>
      </c>
      <c r="E14" s="8" t="s">
        <v>23</v>
      </c>
    </row>
    <row r="15">
      <c r="A15" s="8" t="s">
        <v>64</v>
      </c>
      <c r="B15" s="8" t="s">
        <v>65</v>
      </c>
      <c r="C15" s="8" t="s">
        <v>63</v>
      </c>
      <c r="D15" s="8" t="s">
        <v>18</v>
      </c>
      <c r="E15" s="8" t="s">
        <v>23</v>
      </c>
    </row>
    <row r="16">
      <c r="A16" s="8" t="s">
        <v>66</v>
      </c>
      <c r="B16" s="8" t="s">
        <v>67</v>
      </c>
      <c r="C16" s="8" t="s">
        <v>63</v>
      </c>
      <c r="D16" s="8" t="s">
        <v>18</v>
      </c>
      <c r="E16" s="8" t="s">
        <v>23</v>
      </c>
    </row>
    <row r="17">
      <c r="A17" s="8" t="s">
        <v>68</v>
      </c>
      <c r="B17" s="8" t="s">
        <v>69</v>
      </c>
      <c r="C17" s="8" t="s">
        <v>63</v>
      </c>
      <c r="D17" s="8" t="s">
        <v>18</v>
      </c>
      <c r="E17" s="8" t="s">
        <v>23</v>
      </c>
    </row>
    <row r="18">
      <c r="A18" s="8" t="s">
        <v>70</v>
      </c>
      <c r="B18" s="8" t="s">
        <v>71</v>
      </c>
      <c r="C18" s="8" t="s">
        <v>63</v>
      </c>
      <c r="D18" s="8" t="s">
        <v>18</v>
      </c>
      <c r="E18" s="8" t="s">
        <v>23</v>
      </c>
    </row>
    <row r="19">
      <c r="A19" s="8" t="s">
        <v>72</v>
      </c>
      <c r="B19" s="8" t="s">
        <v>73</v>
      </c>
      <c r="C19" s="8" t="s">
        <v>63</v>
      </c>
      <c r="D19" s="8" t="s">
        <v>18</v>
      </c>
      <c r="E19" s="8" t="s">
        <v>23</v>
      </c>
    </row>
    <row r="20">
      <c r="A20" s="8" t="s">
        <v>74</v>
      </c>
      <c r="B20" s="8" t="s">
        <v>75</v>
      </c>
      <c r="C20" s="8" t="s">
        <v>63</v>
      </c>
      <c r="D20" s="8" t="s">
        <v>18</v>
      </c>
      <c r="E20" s="8" t="s">
        <v>23</v>
      </c>
    </row>
    <row r="21" ht="15.75" customHeight="1">
      <c r="A21" s="8" t="s">
        <v>76</v>
      </c>
      <c r="B21" s="8" t="s">
        <v>77</v>
      </c>
      <c r="C21" s="8" t="s">
        <v>63</v>
      </c>
      <c r="D21" s="8" t="s">
        <v>18</v>
      </c>
      <c r="E21" s="8" t="s">
        <v>23</v>
      </c>
    </row>
    <row r="22" ht="15.75" customHeight="1">
      <c r="A22" s="8" t="s">
        <v>79</v>
      </c>
      <c r="B22" s="8" t="s">
        <v>80</v>
      </c>
      <c r="C22" s="8" t="s">
        <v>63</v>
      </c>
      <c r="D22" s="8" t="s">
        <v>18</v>
      </c>
      <c r="E22" s="8" t="s">
        <v>23</v>
      </c>
    </row>
    <row r="23" ht="15.75" customHeight="1">
      <c r="A23" s="8" t="s">
        <v>81</v>
      </c>
      <c r="B23" s="8" t="s">
        <v>82</v>
      </c>
      <c r="C23" s="8" t="s">
        <v>63</v>
      </c>
      <c r="D23" s="8" t="s">
        <v>18</v>
      </c>
      <c r="E23" s="8" t="s">
        <v>56</v>
      </c>
    </row>
    <row r="24" ht="15.75" customHeight="1">
      <c r="A24" s="8" t="s">
        <v>83</v>
      </c>
      <c r="B24" s="8" t="s">
        <v>84</v>
      </c>
      <c r="C24" s="8" t="s">
        <v>86</v>
      </c>
      <c r="D24" s="8" t="s">
        <v>18</v>
      </c>
      <c r="E24" s="8" t="s">
        <v>23</v>
      </c>
    </row>
    <row r="25" ht="15.75" customHeight="1">
      <c r="A25" s="8" t="s">
        <v>87</v>
      </c>
      <c r="B25" s="8" t="s">
        <v>88</v>
      </c>
      <c r="C25" s="8" t="s">
        <v>86</v>
      </c>
      <c r="D25" s="8" t="s">
        <v>18</v>
      </c>
      <c r="E25" s="8" t="s">
        <v>23</v>
      </c>
    </row>
    <row r="26" ht="15.75" customHeight="1">
      <c r="A26" s="8" t="s">
        <v>89</v>
      </c>
      <c r="B26" s="8" t="s">
        <v>90</v>
      </c>
      <c r="C26" s="8" t="s">
        <v>86</v>
      </c>
      <c r="D26" s="8" t="s">
        <v>18</v>
      </c>
      <c r="E26" s="8" t="s">
        <v>56</v>
      </c>
    </row>
    <row r="27" ht="15.75" customHeight="1">
      <c r="A27" s="8" t="s">
        <v>91</v>
      </c>
      <c r="B27" s="8" t="s">
        <v>92</v>
      </c>
      <c r="C27" s="8" t="s">
        <v>86</v>
      </c>
      <c r="D27" s="8" t="s">
        <v>18</v>
      </c>
      <c r="E27" s="8" t="s">
        <v>56</v>
      </c>
    </row>
    <row r="28" ht="15.75" customHeight="1">
      <c r="A28" s="8" t="s">
        <v>93</v>
      </c>
      <c r="B28" s="8" t="s">
        <v>94</v>
      </c>
      <c r="C28" s="8" t="s">
        <v>86</v>
      </c>
      <c r="D28" s="8" t="s">
        <v>18</v>
      </c>
      <c r="E28" s="8" t="s">
        <v>56</v>
      </c>
    </row>
    <row r="29" ht="15.75" customHeight="1">
      <c r="A29" s="8" t="s">
        <v>95</v>
      </c>
      <c r="B29" s="8" t="s">
        <v>96</v>
      </c>
      <c r="C29" s="8" t="s">
        <v>16</v>
      </c>
      <c r="D29" s="8" t="s">
        <v>18</v>
      </c>
      <c r="E29" s="8" t="s">
        <v>97</v>
      </c>
    </row>
    <row r="30" ht="15.75" customHeight="1">
      <c r="A30" s="8" t="s">
        <v>98</v>
      </c>
      <c r="B30" s="8" t="s">
        <v>99</v>
      </c>
      <c r="C30" s="8" t="s">
        <v>63</v>
      </c>
      <c r="D30" s="8" t="s">
        <v>101</v>
      </c>
      <c r="E30" s="8" t="s">
        <v>23</v>
      </c>
    </row>
    <row r="31" ht="15.75" customHeight="1">
      <c r="A31" s="8" t="s">
        <v>102</v>
      </c>
      <c r="B31" s="8" t="s">
        <v>103</v>
      </c>
      <c r="C31" s="8" t="s">
        <v>86</v>
      </c>
      <c r="D31" s="8" t="s">
        <v>101</v>
      </c>
      <c r="E31" s="8" t="s">
        <v>56</v>
      </c>
    </row>
    <row r="32" ht="15.75" customHeight="1">
      <c r="A32" s="8" t="s">
        <v>104</v>
      </c>
      <c r="B32" s="8" t="s">
        <v>106</v>
      </c>
      <c r="C32" s="8" t="s">
        <v>107</v>
      </c>
      <c r="D32" s="8" t="s">
        <v>101</v>
      </c>
      <c r="E32" s="8" t="s">
        <v>56</v>
      </c>
    </row>
    <row r="33" ht="15.75" customHeight="1">
      <c r="A33" s="8" t="s">
        <v>109</v>
      </c>
      <c r="B33" s="8" t="s">
        <v>110</v>
      </c>
      <c r="C33" s="8" t="s">
        <v>16</v>
      </c>
      <c r="D33" s="8" t="s">
        <v>101</v>
      </c>
      <c r="E33" s="8" t="s">
        <v>23</v>
      </c>
    </row>
    <row r="34" ht="15.75" customHeight="1">
      <c r="A34" s="8" t="s">
        <v>111</v>
      </c>
      <c r="B34" s="8" t="s">
        <v>113</v>
      </c>
      <c r="C34" s="8" t="s">
        <v>16</v>
      </c>
      <c r="D34" s="8" t="s">
        <v>101</v>
      </c>
      <c r="E34" s="8" t="s">
        <v>23</v>
      </c>
    </row>
    <row r="35" ht="15.75" customHeight="1">
      <c r="A35" s="8" t="s">
        <v>115</v>
      </c>
      <c r="B35" s="8" t="s">
        <v>117</v>
      </c>
      <c r="C35" s="8" t="s">
        <v>107</v>
      </c>
      <c r="D35" s="8" t="s">
        <v>101</v>
      </c>
      <c r="E35" s="8" t="s">
        <v>23</v>
      </c>
    </row>
    <row r="36" ht="15.75" customHeight="1">
      <c r="A36" s="8" t="s">
        <v>120</v>
      </c>
      <c r="B36" s="8" t="s">
        <v>122</v>
      </c>
      <c r="C36" s="8" t="s">
        <v>107</v>
      </c>
      <c r="D36" s="8" t="s">
        <v>101</v>
      </c>
      <c r="E36" s="8" t="s">
        <v>56</v>
      </c>
    </row>
    <row r="37" ht="15.75" customHeight="1">
      <c r="A37" s="8" t="s">
        <v>125</v>
      </c>
      <c r="B37" s="8" t="s">
        <v>126</v>
      </c>
      <c r="C37" s="8" t="s">
        <v>63</v>
      </c>
      <c r="D37" s="8" t="s">
        <v>101</v>
      </c>
      <c r="E37" s="8" t="s">
        <v>23</v>
      </c>
    </row>
    <row r="38" ht="15.75" customHeight="1">
      <c r="A38" s="8" t="s">
        <v>130</v>
      </c>
      <c r="B38" s="8" t="s">
        <v>131</v>
      </c>
      <c r="C38" s="8" t="s">
        <v>37</v>
      </c>
      <c r="D38" s="8" t="s">
        <v>101</v>
      </c>
      <c r="E38" s="8" t="s">
        <v>23</v>
      </c>
    </row>
    <row r="39" ht="15.75" customHeight="1">
      <c r="A39" s="8" t="s">
        <v>134</v>
      </c>
      <c r="B39" s="8" t="s">
        <v>135</v>
      </c>
      <c r="C39" s="8" t="s">
        <v>107</v>
      </c>
      <c r="D39" s="8" t="s">
        <v>101</v>
      </c>
      <c r="E39" s="8" t="s">
        <v>56</v>
      </c>
    </row>
    <row r="40" ht="15.75" customHeight="1">
      <c r="A40" s="8" t="s">
        <v>139</v>
      </c>
      <c r="B40" s="8" t="s">
        <v>140</v>
      </c>
      <c r="C40" s="8" t="s">
        <v>107</v>
      </c>
      <c r="D40" s="8" t="s">
        <v>101</v>
      </c>
      <c r="E40" s="8" t="s">
        <v>56</v>
      </c>
    </row>
    <row r="41" ht="15.75" customHeight="1">
      <c r="A41" s="8" t="s">
        <v>141</v>
      </c>
      <c r="B41" s="8" t="s">
        <v>142</v>
      </c>
      <c r="C41" s="8" t="s">
        <v>63</v>
      </c>
      <c r="D41" s="8" t="s">
        <v>101</v>
      </c>
      <c r="E41" s="8" t="s">
        <v>56</v>
      </c>
    </row>
    <row r="42" ht="15.75" customHeight="1">
      <c r="A42" s="8" t="s">
        <v>143</v>
      </c>
      <c r="B42" s="8" t="s">
        <v>144</v>
      </c>
      <c r="C42" s="8" t="s">
        <v>63</v>
      </c>
      <c r="D42" s="8" t="s">
        <v>101</v>
      </c>
      <c r="E42" s="8" t="s">
        <v>23</v>
      </c>
    </row>
    <row r="43" ht="15.75" customHeight="1">
      <c r="A43" s="8" t="s">
        <v>145</v>
      </c>
      <c r="B43" s="8" t="s">
        <v>146</v>
      </c>
      <c r="C43" s="8" t="s">
        <v>107</v>
      </c>
      <c r="D43" s="8" t="s">
        <v>101</v>
      </c>
      <c r="E43" s="8" t="s">
        <v>56</v>
      </c>
    </row>
    <row r="44" ht="15.75" customHeight="1">
      <c r="A44" s="8" t="s">
        <v>148</v>
      </c>
      <c r="B44" s="8" t="s">
        <v>149</v>
      </c>
      <c r="C44" s="8" t="s">
        <v>107</v>
      </c>
      <c r="D44" s="8" t="s">
        <v>101</v>
      </c>
      <c r="E44" s="8" t="s">
        <v>56</v>
      </c>
    </row>
    <row r="45" ht="15.75" customHeight="1">
      <c r="A45" s="8" t="s">
        <v>150</v>
      </c>
      <c r="B45" s="8" t="s">
        <v>151</v>
      </c>
      <c r="C45" s="8" t="s">
        <v>107</v>
      </c>
      <c r="D45" s="8" t="s">
        <v>101</v>
      </c>
      <c r="E45" s="8" t="s">
        <v>97</v>
      </c>
    </row>
    <row r="46" ht="15.75" customHeight="1">
      <c r="A46" s="47"/>
      <c r="B46" s="47"/>
      <c r="C46" s="47"/>
      <c r="D46" s="47"/>
      <c r="E46" s="47"/>
    </row>
    <row r="47" ht="15.75" customHeight="1">
      <c r="A47" s="47"/>
      <c r="B47" s="47"/>
      <c r="C47" s="47"/>
      <c r="D47" s="47"/>
      <c r="E47" s="47"/>
    </row>
    <row r="48" ht="15.75" customHeight="1">
      <c r="A48" s="47"/>
      <c r="B48" s="47"/>
      <c r="C48" s="47"/>
      <c r="D48" s="47"/>
      <c r="E48" s="47"/>
    </row>
    <row r="49" ht="15.75" customHeight="1">
      <c r="A49" s="47"/>
      <c r="B49" s="47"/>
      <c r="C49" s="47"/>
      <c r="D49" s="47"/>
      <c r="E49" s="47"/>
    </row>
    <row r="50" ht="15.75" customHeight="1">
      <c r="A50" s="47"/>
      <c r="B50" s="47"/>
      <c r="C50" s="47"/>
      <c r="D50" s="47"/>
      <c r="E50" s="47"/>
    </row>
    <row r="51" ht="15.75" customHeight="1">
      <c r="A51" s="47"/>
      <c r="B51" s="47"/>
      <c r="C51" s="47"/>
      <c r="D51" s="47"/>
      <c r="E51" s="47"/>
    </row>
    <row r="52" ht="15.75" customHeight="1">
      <c r="A52" s="47"/>
      <c r="B52" s="47"/>
      <c r="C52" s="47"/>
      <c r="D52" s="47"/>
      <c r="E52" s="47"/>
    </row>
    <row r="53" ht="15.75" customHeight="1">
      <c r="A53" s="47"/>
      <c r="B53" s="47"/>
      <c r="C53" s="47"/>
      <c r="D53" s="47"/>
      <c r="E53" s="47"/>
    </row>
    <row r="54" ht="15.75" customHeight="1">
      <c r="A54" s="47"/>
      <c r="B54" s="47"/>
      <c r="C54" s="47"/>
      <c r="D54" s="47"/>
      <c r="E54" s="47"/>
    </row>
    <row r="55" ht="15.75" customHeight="1">
      <c r="A55" s="47"/>
      <c r="B55" s="47"/>
      <c r="C55" s="47"/>
      <c r="D55" s="47"/>
      <c r="E55" s="47"/>
    </row>
    <row r="56" ht="15.75" customHeight="1">
      <c r="A56" s="47"/>
      <c r="B56" s="47"/>
      <c r="C56" s="47"/>
      <c r="D56" s="47"/>
      <c r="E56" s="47"/>
    </row>
    <row r="57" ht="15.75" customHeight="1">
      <c r="A57" s="47"/>
      <c r="B57" s="47"/>
      <c r="C57" s="47"/>
      <c r="D57" s="47"/>
      <c r="E57" s="47"/>
    </row>
    <row r="58" ht="15.75" customHeight="1">
      <c r="A58" s="47"/>
      <c r="B58" s="47"/>
      <c r="C58" s="47"/>
      <c r="D58" s="47"/>
      <c r="E58" s="47"/>
    </row>
    <row r="59" ht="15.75" customHeight="1">
      <c r="A59" s="47"/>
      <c r="B59" s="47"/>
      <c r="C59" s="47"/>
      <c r="D59" s="47"/>
      <c r="E59" s="47"/>
    </row>
    <row r="60" ht="15.75" customHeight="1">
      <c r="A60" s="47"/>
      <c r="B60" s="47"/>
      <c r="C60" s="47"/>
      <c r="D60" s="47"/>
      <c r="E60" s="47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5:E60">
      <formula1>Listas!$C$2:$C$4</formula1>
    </dataValidation>
    <dataValidation type="list" allowBlank="1" sqref="D5:D60">
      <formula1>Listas!$B$2:$B$3</formula1>
    </dataValidation>
    <dataValidation type="list" allowBlank="1" sqref="C5:C60">
      <formula1>Listas!$A$2:$A$6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/>
      <c r="B1" s="5" t="s">
        <v>4</v>
      </c>
      <c r="C1" s="6" t="s">
        <v>7</v>
      </c>
      <c r="D1" s="7"/>
      <c r="E1" s="9"/>
      <c r="F1" s="3"/>
      <c r="G1" s="3"/>
      <c r="H1" s="3"/>
      <c r="I1" s="3"/>
      <c r="J1" s="3"/>
      <c r="K1" s="3"/>
      <c r="L1" s="3"/>
      <c r="M1" s="10" t="s">
        <v>12</v>
      </c>
      <c r="N1" s="12" t="s">
        <v>14</v>
      </c>
      <c r="O1" s="13"/>
      <c r="P1" s="13"/>
      <c r="Q1" s="3"/>
      <c r="R1" s="3"/>
      <c r="S1" s="3"/>
      <c r="T1" s="3"/>
      <c r="U1" s="3"/>
      <c r="V1" s="3"/>
      <c r="W1" s="3"/>
      <c r="X1" s="16" t="s">
        <v>19</v>
      </c>
      <c r="Y1" s="17" t="s">
        <v>22</v>
      </c>
      <c r="Z1" s="13"/>
      <c r="AA1" s="13"/>
      <c r="AB1" s="3"/>
      <c r="AC1" s="3"/>
      <c r="AD1" s="3"/>
      <c r="AE1" s="3"/>
    </row>
    <row r="2">
      <c r="A2" s="19"/>
      <c r="B2" s="20" t="s">
        <v>36</v>
      </c>
      <c r="C2" s="20" t="s">
        <v>43</v>
      </c>
      <c r="D2" s="21" t="s">
        <v>45</v>
      </c>
      <c r="E2" s="21" t="s">
        <v>49</v>
      </c>
      <c r="F2" s="21" t="s">
        <v>50</v>
      </c>
      <c r="G2" s="21" t="s">
        <v>51</v>
      </c>
      <c r="H2" s="21" t="s">
        <v>55</v>
      </c>
      <c r="I2" s="21" t="s">
        <v>50</v>
      </c>
      <c r="J2" s="3"/>
      <c r="K2" s="3"/>
      <c r="L2" s="19"/>
      <c r="M2" s="22" t="s">
        <v>36</v>
      </c>
      <c r="N2" s="22" t="s">
        <v>43</v>
      </c>
      <c r="O2" s="24" t="s">
        <v>45</v>
      </c>
      <c r="P2" s="24" t="s">
        <v>49</v>
      </c>
      <c r="Q2" s="26" t="s">
        <v>50</v>
      </c>
      <c r="R2" s="26" t="s">
        <v>51</v>
      </c>
      <c r="S2" s="26" t="s">
        <v>55</v>
      </c>
      <c r="T2" s="26" t="s">
        <v>50</v>
      </c>
      <c r="U2" s="3"/>
      <c r="V2" s="3"/>
      <c r="W2" s="19"/>
      <c r="X2" s="27" t="s">
        <v>36</v>
      </c>
      <c r="Y2" s="27" t="s">
        <v>43</v>
      </c>
      <c r="Z2" s="28" t="s">
        <v>45</v>
      </c>
      <c r="AA2" s="28" t="s">
        <v>49</v>
      </c>
      <c r="AB2" s="29" t="s">
        <v>50</v>
      </c>
      <c r="AC2" s="29" t="s">
        <v>51</v>
      </c>
      <c r="AD2" s="29" t="s">
        <v>55</v>
      </c>
      <c r="AE2" s="29" t="s">
        <v>50</v>
      </c>
    </row>
    <row r="3">
      <c r="A3" s="30">
        <v>2024.0</v>
      </c>
      <c r="B3" s="31" t="s">
        <v>78</v>
      </c>
      <c r="C3" s="32">
        <v>1679.0</v>
      </c>
      <c r="D3" s="33" t="s">
        <v>85</v>
      </c>
      <c r="E3" s="34" t="s">
        <v>85</v>
      </c>
      <c r="F3" s="34" t="s">
        <v>85</v>
      </c>
      <c r="G3" s="34" t="s">
        <v>85</v>
      </c>
      <c r="H3" s="34" t="s">
        <v>85</v>
      </c>
      <c r="I3" s="34" t="s">
        <v>85</v>
      </c>
      <c r="J3" s="3"/>
      <c r="K3" s="3"/>
      <c r="L3" s="36">
        <v>2024.0</v>
      </c>
      <c r="M3" s="31" t="s">
        <v>78</v>
      </c>
      <c r="N3" s="32">
        <v>129.0</v>
      </c>
      <c r="O3" s="33" t="s">
        <v>85</v>
      </c>
      <c r="P3" s="34" t="s">
        <v>85</v>
      </c>
      <c r="Q3" s="34" t="s">
        <v>85</v>
      </c>
      <c r="R3" s="34" t="s">
        <v>85</v>
      </c>
      <c r="S3" s="34" t="s">
        <v>85</v>
      </c>
      <c r="T3" s="34" t="s">
        <v>85</v>
      </c>
      <c r="U3" s="3"/>
      <c r="V3" s="3"/>
      <c r="W3" s="37">
        <v>2024.0</v>
      </c>
      <c r="X3" s="31" t="s">
        <v>78</v>
      </c>
      <c r="Y3" s="32">
        <v>121.0</v>
      </c>
      <c r="Z3" s="33" t="s">
        <v>85</v>
      </c>
      <c r="AA3" s="34" t="s">
        <v>85</v>
      </c>
      <c r="AB3" s="34" t="s">
        <v>85</v>
      </c>
      <c r="AC3" s="34" t="s">
        <v>85</v>
      </c>
      <c r="AD3" s="34" t="s">
        <v>85</v>
      </c>
      <c r="AE3" s="34" t="s">
        <v>85</v>
      </c>
    </row>
    <row r="4">
      <c r="A4" s="19"/>
      <c r="B4" s="38" t="s">
        <v>100</v>
      </c>
      <c r="C4" s="32">
        <v>1984.0</v>
      </c>
      <c r="D4" s="39" t="s">
        <v>85</v>
      </c>
      <c r="E4" s="34" t="s">
        <v>85</v>
      </c>
      <c r="F4" s="34" t="s">
        <v>85</v>
      </c>
      <c r="G4" s="34" t="s">
        <v>85</v>
      </c>
      <c r="H4" s="34" t="s">
        <v>85</v>
      </c>
      <c r="I4" s="34" t="s">
        <v>85</v>
      </c>
      <c r="J4" s="3"/>
      <c r="K4" s="3"/>
      <c r="L4" s="19"/>
      <c r="M4" s="38" t="s">
        <v>100</v>
      </c>
      <c r="N4" s="32">
        <v>97.0</v>
      </c>
      <c r="O4" s="39" t="s">
        <v>85</v>
      </c>
      <c r="P4" s="34" t="s">
        <v>85</v>
      </c>
      <c r="Q4" s="34" t="s">
        <v>85</v>
      </c>
      <c r="R4" s="34" t="s">
        <v>85</v>
      </c>
      <c r="S4" s="34" t="s">
        <v>85</v>
      </c>
      <c r="T4" s="34" t="s">
        <v>85</v>
      </c>
      <c r="U4" s="3"/>
      <c r="V4" s="3"/>
      <c r="W4" s="19"/>
      <c r="X4" s="38" t="s">
        <v>100</v>
      </c>
      <c r="Y4" s="32">
        <v>94.0</v>
      </c>
      <c r="Z4" s="39" t="s">
        <v>85</v>
      </c>
      <c r="AA4" s="34" t="s">
        <v>85</v>
      </c>
      <c r="AB4" s="34" t="s">
        <v>85</v>
      </c>
      <c r="AC4" s="34" t="s">
        <v>85</v>
      </c>
      <c r="AD4" s="34" t="s">
        <v>85</v>
      </c>
      <c r="AE4" s="34" t="s">
        <v>85</v>
      </c>
    </row>
    <row r="5">
      <c r="A5" s="19"/>
      <c r="B5" s="38" t="s">
        <v>116</v>
      </c>
      <c r="C5" s="32">
        <v>868.0</v>
      </c>
      <c r="D5" s="39">
        <v>1831.5</v>
      </c>
      <c r="E5" s="34">
        <v>963.5</v>
      </c>
      <c r="F5" s="42">
        <v>1.11</v>
      </c>
      <c r="G5" s="34" t="s">
        <v>85</v>
      </c>
      <c r="H5" s="34" t="s">
        <v>85</v>
      </c>
      <c r="I5" s="34" t="s">
        <v>85</v>
      </c>
      <c r="J5" s="3"/>
      <c r="K5" s="3"/>
      <c r="L5" s="19"/>
      <c r="M5" s="38" t="s">
        <v>116</v>
      </c>
      <c r="N5" s="32">
        <v>83.0</v>
      </c>
      <c r="O5" s="39">
        <v>113.0</v>
      </c>
      <c r="P5" s="34">
        <v>30.0</v>
      </c>
      <c r="Q5" s="42">
        <v>0.3614</v>
      </c>
      <c r="R5" s="34" t="s">
        <v>85</v>
      </c>
      <c r="S5" s="34" t="s">
        <v>85</v>
      </c>
      <c r="T5" s="34" t="s">
        <v>85</v>
      </c>
      <c r="U5" s="3"/>
      <c r="V5" s="3"/>
      <c r="W5" s="19"/>
      <c r="X5" s="38" t="s">
        <v>116</v>
      </c>
      <c r="Y5" s="32">
        <v>93.0</v>
      </c>
      <c r="Z5" s="39">
        <v>107.5</v>
      </c>
      <c r="AA5" s="34">
        <v>14.5</v>
      </c>
      <c r="AB5" s="42">
        <v>0.1559</v>
      </c>
      <c r="AC5" s="34" t="s">
        <v>85</v>
      </c>
      <c r="AD5" s="34" t="s">
        <v>85</v>
      </c>
      <c r="AE5" s="34" t="s">
        <v>85</v>
      </c>
    </row>
    <row r="6">
      <c r="A6" s="19"/>
      <c r="B6" s="38" t="s">
        <v>138</v>
      </c>
      <c r="C6" s="32">
        <v>1419.0</v>
      </c>
      <c r="D6" s="45">
        <v>1426.0</v>
      </c>
      <c r="E6" s="34">
        <v>7.0</v>
      </c>
      <c r="F6" s="42">
        <v>0.0049</v>
      </c>
      <c r="G6" s="34">
        <v>1510.33</v>
      </c>
      <c r="H6" s="34">
        <v>91.3</v>
      </c>
      <c r="I6" s="42">
        <v>0.0644</v>
      </c>
      <c r="J6" s="3"/>
      <c r="K6" s="3"/>
      <c r="L6" s="19"/>
      <c r="M6" s="38" t="s">
        <v>138</v>
      </c>
      <c r="N6" s="32">
        <v>157.0</v>
      </c>
      <c r="O6" s="39">
        <v>90.0</v>
      </c>
      <c r="P6" s="34">
        <v>67.0</v>
      </c>
      <c r="Q6" s="42">
        <v>0.4268</v>
      </c>
      <c r="R6" s="34">
        <v>103.0</v>
      </c>
      <c r="S6" s="34">
        <v>54.0</v>
      </c>
      <c r="T6" s="42">
        <v>0.3439</v>
      </c>
      <c r="U6" s="3"/>
      <c r="V6" s="3"/>
      <c r="W6" s="19"/>
      <c r="X6" s="38" t="s">
        <v>138</v>
      </c>
      <c r="Y6" s="32">
        <v>104.0</v>
      </c>
      <c r="Z6" s="39">
        <v>94.0</v>
      </c>
      <c r="AA6" s="34">
        <v>10.5</v>
      </c>
      <c r="AB6" s="42">
        <v>0.101</v>
      </c>
      <c r="AC6" s="34">
        <v>102.67</v>
      </c>
      <c r="AD6" s="34">
        <v>1.3</v>
      </c>
      <c r="AE6" s="42">
        <v>0.0128</v>
      </c>
    </row>
    <row r="7">
      <c r="A7" s="19"/>
      <c r="B7" s="38" t="s">
        <v>147</v>
      </c>
      <c r="C7" s="32">
        <v>861.0</v>
      </c>
      <c r="D7" s="45">
        <v>1144.0</v>
      </c>
      <c r="E7" s="34">
        <v>282.5</v>
      </c>
      <c r="F7" s="42">
        <v>0.3281</v>
      </c>
      <c r="G7" s="34">
        <v>1423.67</v>
      </c>
      <c r="H7" s="34">
        <v>562.7</v>
      </c>
      <c r="I7" s="42">
        <v>0.6535</v>
      </c>
      <c r="J7" s="3"/>
      <c r="K7" s="3"/>
      <c r="L7" s="19"/>
      <c r="M7" s="38" t="s">
        <v>147</v>
      </c>
      <c r="N7" s="32">
        <v>112.0</v>
      </c>
      <c r="O7" s="39">
        <v>120.0</v>
      </c>
      <c r="P7" s="34">
        <v>8.0</v>
      </c>
      <c r="Q7" s="42">
        <v>0.0714</v>
      </c>
      <c r="R7" s="34">
        <v>112.33</v>
      </c>
      <c r="S7" s="34">
        <v>0.3</v>
      </c>
      <c r="T7" s="42">
        <v>0.003</v>
      </c>
      <c r="U7" s="3"/>
      <c r="V7" s="3"/>
      <c r="W7" s="19"/>
      <c r="X7" s="38" t="s">
        <v>147</v>
      </c>
      <c r="Y7" s="32">
        <v>58.0</v>
      </c>
      <c r="Z7" s="39">
        <v>99.0</v>
      </c>
      <c r="AA7" s="34">
        <v>40.5</v>
      </c>
      <c r="AB7" s="42">
        <v>0.6983</v>
      </c>
      <c r="AC7" s="34">
        <v>97.0</v>
      </c>
      <c r="AD7" s="34">
        <v>39.0</v>
      </c>
      <c r="AE7" s="42">
        <v>0.6724</v>
      </c>
    </row>
    <row r="8">
      <c r="A8" s="19"/>
      <c r="B8" s="38" t="s">
        <v>152</v>
      </c>
      <c r="C8" s="32">
        <v>827.0</v>
      </c>
      <c r="D8" s="45">
        <v>1140.0</v>
      </c>
      <c r="E8" s="34">
        <v>313.0</v>
      </c>
      <c r="F8" s="42">
        <v>0.3785</v>
      </c>
      <c r="G8" s="34">
        <v>1049.33</v>
      </c>
      <c r="H8" s="34">
        <v>222.3</v>
      </c>
      <c r="I8" s="42">
        <v>0.2688</v>
      </c>
      <c r="J8" s="3"/>
      <c r="K8" s="3"/>
      <c r="L8" s="19"/>
      <c r="M8" s="38" t="s">
        <v>152</v>
      </c>
      <c r="N8" s="32">
        <v>73.0</v>
      </c>
      <c r="O8" s="39">
        <v>135.0</v>
      </c>
      <c r="P8" s="34">
        <v>61.5</v>
      </c>
      <c r="Q8" s="42">
        <v>0.8425</v>
      </c>
      <c r="R8" s="34">
        <v>117.33</v>
      </c>
      <c r="S8" s="34">
        <v>44.3</v>
      </c>
      <c r="T8" s="42">
        <v>0.6073</v>
      </c>
      <c r="U8" s="3"/>
      <c r="V8" s="3"/>
      <c r="W8" s="19"/>
      <c r="X8" s="38" t="s">
        <v>152</v>
      </c>
      <c r="Y8" s="32">
        <v>102.0</v>
      </c>
      <c r="Z8" s="39">
        <v>81.0</v>
      </c>
      <c r="AA8" s="34">
        <v>21.0</v>
      </c>
      <c r="AB8" s="42">
        <v>0.2059</v>
      </c>
      <c r="AC8" s="34">
        <v>85.0</v>
      </c>
      <c r="AD8" s="34">
        <v>17.0</v>
      </c>
      <c r="AE8" s="42">
        <v>0.1667</v>
      </c>
    </row>
    <row r="9">
      <c r="A9" s="19"/>
      <c r="B9" s="38" t="s">
        <v>153</v>
      </c>
      <c r="C9" s="32">
        <v>860.0</v>
      </c>
      <c r="D9" s="39">
        <v>844.0</v>
      </c>
      <c r="E9" s="34">
        <v>16.0</v>
      </c>
      <c r="F9" s="42">
        <v>0.0186</v>
      </c>
      <c r="G9" s="34">
        <v>1035.67</v>
      </c>
      <c r="H9" s="34">
        <v>175.7</v>
      </c>
      <c r="I9" s="42">
        <v>0.2043</v>
      </c>
      <c r="J9" s="3"/>
      <c r="K9" s="3"/>
      <c r="L9" s="19"/>
      <c r="M9" s="38" t="s">
        <v>153</v>
      </c>
      <c r="N9" s="32">
        <v>79.0</v>
      </c>
      <c r="O9" s="39">
        <v>93.0</v>
      </c>
      <c r="P9" s="34">
        <v>13.5</v>
      </c>
      <c r="Q9" s="42">
        <v>0.1709</v>
      </c>
      <c r="R9" s="34">
        <v>114.0</v>
      </c>
      <c r="S9" s="34">
        <v>35.0</v>
      </c>
      <c r="T9" s="42">
        <v>0.443</v>
      </c>
      <c r="U9" s="3"/>
      <c r="V9" s="3"/>
      <c r="W9" s="19"/>
      <c r="X9" s="38" t="s">
        <v>153</v>
      </c>
      <c r="Y9" s="32">
        <v>121.0</v>
      </c>
      <c r="Z9" s="39">
        <v>80.0</v>
      </c>
      <c r="AA9" s="34">
        <v>41.0</v>
      </c>
      <c r="AB9" s="42">
        <v>0.3388</v>
      </c>
      <c r="AC9" s="34">
        <v>88.0</v>
      </c>
      <c r="AD9" s="34">
        <v>33.0</v>
      </c>
      <c r="AE9" s="42">
        <v>0.2727</v>
      </c>
    </row>
    <row r="10">
      <c r="A10" s="19"/>
      <c r="B10" s="38" t="s">
        <v>154</v>
      </c>
      <c r="C10" s="32">
        <v>1721.0</v>
      </c>
      <c r="D10" s="39">
        <v>844.0</v>
      </c>
      <c r="E10" s="34">
        <v>877.5</v>
      </c>
      <c r="F10" s="42">
        <v>0.5099</v>
      </c>
      <c r="G10" s="34">
        <v>849.33</v>
      </c>
      <c r="H10" s="34">
        <v>871.7</v>
      </c>
      <c r="I10" s="42">
        <v>0.5065</v>
      </c>
      <c r="J10" s="3"/>
      <c r="K10" s="3"/>
      <c r="L10" s="19"/>
      <c r="M10" s="38" t="s">
        <v>154</v>
      </c>
      <c r="N10" s="32">
        <v>107.0</v>
      </c>
      <c r="O10" s="39">
        <v>76.0</v>
      </c>
      <c r="P10" s="34">
        <v>31.0</v>
      </c>
      <c r="Q10" s="42">
        <v>0.2897</v>
      </c>
      <c r="R10" s="34">
        <v>88.0</v>
      </c>
      <c r="S10" s="34">
        <v>19.0</v>
      </c>
      <c r="T10" s="42">
        <v>0.1776</v>
      </c>
      <c r="U10" s="3"/>
      <c r="V10" s="3"/>
      <c r="W10" s="19"/>
      <c r="X10" s="38" t="s">
        <v>154</v>
      </c>
      <c r="Y10" s="32">
        <v>96.0</v>
      </c>
      <c r="Z10" s="39">
        <v>112.0</v>
      </c>
      <c r="AA10" s="34">
        <v>15.5</v>
      </c>
      <c r="AB10" s="42">
        <v>0.1615</v>
      </c>
      <c r="AC10" s="34">
        <v>93.67</v>
      </c>
      <c r="AD10" s="34">
        <v>2.3</v>
      </c>
      <c r="AE10" s="42">
        <v>0.0243</v>
      </c>
    </row>
    <row r="11">
      <c r="A11" s="19"/>
      <c r="B11" s="38" t="s">
        <v>159</v>
      </c>
      <c r="C11" s="32">
        <v>1329.0</v>
      </c>
      <c r="D11" s="45">
        <v>1291.0</v>
      </c>
      <c r="E11" s="34">
        <v>38.5</v>
      </c>
      <c r="F11" s="42">
        <v>0.029</v>
      </c>
      <c r="G11" s="34">
        <v>1136.0</v>
      </c>
      <c r="H11" s="34">
        <v>193.0</v>
      </c>
      <c r="I11" s="42">
        <v>0.1452</v>
      </c>
      <c r="J11" s="3"/>
      <c r="K11" s="3"/>
      <c r="L11" s="19"/>
      <c r="M11" s="38" t="s">
        <v>159</v>
      </c>
      <c r="N11" s="32">
        <v>73.0</v>
      </c>
      <c r="O11" s="39">
        <v>93.0</v>
      </c>
      <c r="P11" s="34">
        <v>20.0</v>
      </c>
      <c r="Q11" s="42">
        <v>0.274</v>
      </c>
      <c r="R11" s="34">
        <v>86.33</v>
      </c>
      <c r="S11" s="34">
        <v>13.3</v>
      </c>
      <c r="T11" s="42">
        <v>0.1826</v>
      </c>
      <c r="U11" s="3"/>
      <c r="V11" s="3"/>
      <c r="W11" s="19"/>
      <c r="X11" s="38" t="s">
        <v>159</v>
      </c>
      <c r="Y11" s="32">
        <v>63.0</v>
      </c>
      <c r="Z11" s="39">
        <v>109.0</v>
      </c>
      <c r="AA11" s="34">
        <v>45.5</v>
      </c>
      <c r="AB11" s="42">
        <v>0.7222</v>
      </c>
      <c r="AC11" s="34">
        <v>106.33</v>
      </c>
      <c r="AD11" s="34">
        <v>43.3</v>
      </c>
      <c r="AE11" s="42">
        <v>0.6878</v>
      </c>
    </row>
    <row r="12">
      <c r="A12" s="19"/>
      <c r="B12" s="38" t="s">
        <v>166</v>
      </c>
      <c r="C12" s="32">
        <v>957.0</v>
      </c>
      <c r="D12" s="45">
        <v>1525.0</v>
      </c>
      <c r="E12" s="34">
        <v>568.0</v>
      </c>
      <c r="F12" s="42">
        <v>0.5935</v>
      </c>
      <c r="G12" s="34">
        <v>1303.33</v>
      </c>
      <c r="H12" s="34">
        <v>346.3</v>
      </c>
      <c r="I12" s="42">
        <v>0.3619</v>
      </c>
      <c r="J12" s="3"/>
      <c r="K12" s="3"/>
      <c r="L12" s="19"/>
      <c r="M12" s="38" t="s">
        <v>166</v>
      </c>
      <c r="N12" s="32">
        <v>141.0</v>
      </c>
      <c r="O12" s="39">
        <v>90.0</v>
      </c>
      <c r="P12" s="34">
        <v>51.0</v>
      </c>
      <c r="Q12" s="42">
        <v>0.3617</v>
      </c>
      <c r="R12" s="34">
        <v>86.33</v>
      </c>
      <c r="S12" s="34">
        <v>54.7</v>
      </c>
      <c r="T12" s="42">
        <v>0.3877</v>
      </c>
      <c r="U12" s="3"/>
      <c r="V12" s="3"/>
      <c r="W12" s="19"/>
      <c r="X12" s="38" t="s">
        <v>166</v>
      </c>
      <c r="Y12" s="32">
        <v>97.0</v>
      </c>
      <c r="Z12" s="39">
        <v>80.0</v>
      </c>
      <c r="AA12" s="34">
        <v>17.5</v>
      </c>
      <c r="AB12" s="42">
        <v>0.1804</v>
      </c>
      <c r="AC12" s="34">
        <v>93.33</v>
      </c>
      <c r="AD12" s="34">
        <v>3.7</v>
      </c>
      <c r="AE12" s="42">
        <v>0.0378</v>
      </c>
    </row>
    <row r="13">
      <c r="A13" s="19"/>
      <c r="B13" s="38" t="s">
        <v>174</v>
      </c>
      <c r="C13" s="32">
        <v>1024.0</v>
      </c>
      <c r="D13" s="45">
        <v>1143.0</v>
      </c>
      <c r="E13" s="34">
        <v>119.0</v>
      </c>
      <c r="F13" s="42">
        <v>0.1162</v>
      </c>
      <c r="G13" s="34">
        <v>1335.67</v>
      </c>
      <c r="H13" s="34">
        <v>311.7</v>
      </c>
      <c r="I13" s="42">
        <v>0.3044</v>
      </c>
      <c r="J13" s="3"/>
      <c r="K13" s="3"/>
      <c r="L13" s="19"/>
      <c r="M13" s="38" t="s">
        <v>174</v>
      </c>
      <c r="N13" s="32">
        <v>83.0</v>
      </c>
      <c r="O13" s="39">
        <v>107.0</v>
      </c>
      <c r="P13" s="34">
        <v>24.0</v>
      </c>
      <c r="Q13" s="42">
        <v>0.2892</v>
      </c>
      <c r="R13" s="34">
        <v>107.0</v>
      </c>
      <c r="S13" s="34">
        <v>24.0</v>
      </c>
      <c r="T13" s="42">
        <v>0.2892</v>
      </c>
      <c r="U13" s="3"/>
      <c r="V13" s="3"/>
      <c r="W13" s="19"/>
      <c r="X13" s="38" t="s">
        <v>174</v>
      </c>
      <c r="Y13" s="32">
        <v>101.0</v>
      </c>
      <c r="Z13" s="39">
        <v>80.0</v>
      </c>
      <c r="AA13" s="34">
        <v>21.0</v>
      </c>
      <c r="AB13" s="42">
        <v>0.2079</v>
      </c>
      <c r="AC13" s="34">
        <v>85.33</v>
      </c>
      <c r="AD13" s="34">
        <v>15.7</v>
      </c>
      <c r="AE13" s="42">
        <v>0.1551</v>
      </c>
    </row>
    <row r="14">
      <c r="A14" s="19"/>
      <c r="B14" s="38" t="s">
        <v>177</v>
      </c>
      <c r="C14" s="32">
        <v>1218.0</v>
      </c>
      <c r="D14" s="39">
        <v>991.0</v>
      </c>
      <c r="E14" s="34">
        <v>227.5</v>
      </c>
      <c r="F14" s="42">
        <v>0.1868</v>
      </c>
      <c r="G14" s="34">
        <v>1103.33</v>
      </c>
      <c r="H14" s="34">
        <v>114.7</v>
      </c>
      <c r="I14" s="42">
        <v>0.0941</v>
      </c>
      <c r="J14" s="3"/>
      <c r="K14" s="3"/>
      <c r="L14" s="19"/>
      <c r="M14" s="38" t="s">
        <v>177</v>
      </c>
      <c r="N14" s="32">
        <v>97.0</v>
      </c>
      <c r="O14" s="39">
        <v>112.0</v>
      </c>
      <c r="P14" s="34">
        <v>15.0</v>
      </c>
      <c r="Q14" s="42">
        <v>0.1546</v>
      </c>
      <c r="R14" s="34">
        <v>99.0</v>
      </c>
      <c r="S14" s="34">
        <v>2.0</v>
      </c>
      <c r="T14" s="42">
        <v>0.0206</v>
      </c>
      <c r="U14" s="3"/>
      <c r="V14" s="3"/>
      <c r="W14" s="19"/>
      <c r="X14" s="38" t="s">
        <v>177</v>
      </c>
      <c r="Y14" s="32">
        <v>69.0</v>
      </c>
      <c r="Z14" s="39">
        <v>99.0</v>
      </c>
      <c r="AA14" s="34">
        <v>30.0</v>
      </c>
      <c r="AB14" s="42">
        <v>0.4348</v>
      </c>
      <c r="AC14" s="34">
        <v>87.0</v>
      </c>
      <c r="AD14" s="34">
        <v>18.0</v>
      </c>
      <c r="AE14" s="42">
        <v>0.2609</v>
      </c>
    </row>
    <row r="15">
      <c r="A15" s="30">
        <v>2025.0</v>
      </c>
      <c r="B15" s="51" t="s">
        <v>78</v>
      </c>
      <c r="C15" s="32">
        <v>950.0</v>
      </c>
      <c r="D15" s="45">
        <v>1121.0</v>
      </c>
      <c r="E15" s="34">
        <v>171.0</v>
      </c>
      <c r="F15" s="42">
        <v>0.18</v>
      </c>
      <c r="G15" s="34">
        <v>1066.33</v>
      </c>
      <c r="H15" s="34">
        <v>116.3</v>
      </c>
      <c r="I15" s="42">
        <v>0.1225</v>
      </c>
      <c r="J15" s="3"/>
      <c r="K15" s="3"/>
      <c r="L15" s="36">
        <v>2025.0</v>
      </c>
      <c r="M15" s="51" t="s">
        <v>78</v>
      </c>
      <c r="N15" s="32">
        <v>138.0</v>
      </c>
      <c r="O15" s="39">
        <v>90.0</v>
      </c>
      <c r="P15" s="34">
        <v>48.0</v>
      </c>
      <c r="Q15" s="42">
        <v>0.3478</v>
      </c>
      <c r="R15" s="34">
        <v>107.0</v>
      </c>
      <c r="S15" s="34">
        <v>31.0</v>
      </c>
      <c r="T15" s="42">
        <v>0.2246</v>
      </c>
      <c r="U15" s="3"/>
      <c r="V15" s="3"/>
      <c r="W15" s="37">
        <v>2025.0</v>
      </c>
      <c r="X15" s="51" t="s">
        <v>78</v>
      </c>
      <c r="Y15" s="32">
        <v>104.0</v>
      </c>
      <c r="Z15" s="39">
        <v>85.0</v>
      </c>
      <c r="AA15" s="34">
        <v>19.0</v>
      </c>
      <c r="AB15" s="42">
        <v>0.1827</v>
      </c>
      <c r="AC15" s="34">
        <v>89.0</v>
      </c>
      <c r="AD15" s="34">
        <v>15.0</v>
      </c>
      <c r="AE15" s="42">
        <v>0.1442</v>
      </c>
    </row>
    <row r="16">
      <c r="A16" s="19"/>
      <c r="B16" s="51" t="s">
        <v>100</v>
      </c>
      <c r="C16" s="32">
        <v>919.0</v>
      </c>
      <c r="D16" s="45">
        <v>1084.0</v>
      </c>
      <c r="E16" s="34">
        <v>165.0</v>
      </c>
      <c r="F16" s="42">
        <v>0.1795</v>
      </c>
      <c r="G16" s="34">
        <v>1064.0</v>
      </c>
      <c r="H16" s="34">
        <v>145.0</v>
      </c>
      <c r="I16" s="42">
        <v>0.1578</v>
      </c>
      <c r="J16" s="3"/>
      <c r="K16" s="3"/>
      <c r="L16" s="19"/>
      <c r="M16" s="51" t="s">
        <v>100</v>
      </c>
      <c r="N16" s="32">
        <v>116.0</v>
      </c>
      <c r="O16" s="39">
        <v>118.0</v>
      </c>
      <c r="P16" s="34">
        <v>1.5</v>
      </c>
      <c r="Q16" s="42">
        <v>0.0129</v>
      </c>
      <c r="R16" s="34">
        <v>106.0</v>
      </c>
      <c r="S16" s="34">
        <v>10.0</v>
      </c>
      <c r="T16" s="42">
        <v>0.0862</v>
      </c>
      <c r="U16" s="3"/>
      <c r="V16" s="3"/>
      <c r="W16" s="19"/>
      <c r="X16" s="51" t="s">
        <v>100</v>
      </c>
      <c r="Y16" s="32">
        <v>77.0</v>
      </c>
      <c r="Z16" s="39">
        <v>87.0</v>
      </c>
      <c r="AA16" s="34">
        <v>9.5</v>
      </c>
      <c r="AB16" s="42">
        <v>0.1234</v>
      </c>
      <c r="AC16" s="34">
        <v>91.33</v>
      </c>
      <c r="AD16" s="34">
        <v>14.3</v>
      </c>
      <c r="AE16" s="42">
        <v>0.1861</v>
      </c>
    </row>
    <row r="17">
      <c r="A17" s="19"/>
      <c r="B17" s="51" t="s">
        <v>116</v>
      </c>
      <c r="C17" s="32">
        <v>1058.0</v>
      </c>
      <c r="D17" s="39">
        <v>935.0</v>
      </c>
      <c r="E17" s="34">
        <v>123.5</v>
      </c>
      <c r="F17" s="42">
        <v>0.1167</v>
      </c>
      <c r="G17" s="34">
        <v>1029.0</v>
      </c>
      <c r="H17" s="34">
        <v>29.0</v>
      </c>
      <c r="I17" s="42">
        <v>0.0274</v>
      </c>
      <c r="J17" s="3"/>
      <c r="K17" s="3"/>
      <c r="L17" s="19"/>
      <c r="M17" s="51" t="s">
        <v>116</v>
      </c>
      <c r="N17" s="32">
        <v>70.0</v>
      </c>
      <c r="O17" s="39">
        <v>127.0</v>
      </c>
      <c r="P17" s="34">
        <v>57.0</v>
      </c>
      <c r="Q17" s="42">
        <v>0.8143</v>
      </c>
      <c r="R17" s="34">
        <v>117.0</v>
      </c>
      <c r="S17" s="34">
        <v>47.0</v>
      </c>
      <c r="T17" s="42">
        <v>0.6714</v>
      </c>
      <c r="U17" s="3"/>
      <c r="V17" s="3"/>
      <c r="W17" s="19"/>
      <c r="X17" s="51" t="s">
        <v>116</v>
      </c>
      <c r="Y17" s="32">
        <v>44.0</v>
      </c>
      <c r="Z17" s="39">
        <v>91.0</v>
      </c>
      <c r="AA17" s="34">
        <v>46.5</v>
      </c>
      <c r="AB17" s="42">
        <v>1.0568</v>
      </c>
      <c r="AC17" s="34">
        <v>83.33</v>
      </c>
      <c r="AD17" s="34">
        <v>39.3</v>
      </c>
      <c r="AE17" s="42">
        <v>0.8939</v>
      </c>
    </row>
    <row r="18">
      <c r="A18" s="19"/>
      <c r="B18" s="51" t="s">
        <v>138</v>
      </c>
      <c r="C18" s="32">
        <v>903.0</v>
      </c>
      <c r="D18" s="39">
        <v>989.0</v>
      </c>
      <c r="E18" s="34">
        <v>85.5</v>
      </c>
      <c r="F18" s="42">
        <v>0.0947</v>
      </c>
      <c r="G18" s="34">
        <v>975.67</v>
      </c>
      <c r="H18" s="34">
        <v>72.7</v>
      </c>
      <c r="I18" s="42">
        <v>0.0805</v>
      </c>
      <c r="J18" s="3"/>
      <c r="K18" s="3"/>
      <c r="L18" s="19"/>
      <c r="M18" s="51" t="s">
        <v>138</v>
      </c>
      <c r="N18" s="32">
        <v>107.0</v>
      </c>
      <c r="O18" s="39">
        <v>93.0</v>
      </c>
      <c r="P18" s="34">
        <v>14.0</v>
      </c>
      <c r="Q18" s="42">
        <v>0.1308</v>
      </c>
      <c r="R18" s="34">
        <v>108.0</v>
      </c>
      <c r="S18" s="34">
        <v>1.0</v>
      </c>
      <c r="T18" s="42">
        <v>0.0093</v>
      </c>
      <c r="U18" s="3"/>
      <c r="V18" s="3"/>
      <c r="W18" s="19"/>
      <c r="X18" s="51" t="s">
        <v>138</v>
      </c>
      <c r="Y18" s="32">
        <v>36.0</v>
      </c>
      <c r="Z18" s="39">
        <v>61.0</v>
      </c>
      <c r="AA18" s="34">
        <v>24.5</v>
      </c>
      <c r="AB18" s="42">
        <v>0.6806</v>
      </c>
      <c r="AC18" s="34">
        <v>75.0</v>
      </c>
      <c r="AD18" s="34">
        <v>39.0</v>
      </c>
      <c r="AE18" s="42">
        <v>1.0833</v>
      </c>
    </row>
    <row r="19">
      <c r="A19" s="19"/>
      <c r="B19" s="51" t="s">
        <v>147</v>
      </c>
      <c r="C19" s="32">
        <v>1629.0</v>
      </c>
      <c r="D19" s="39">
        <v>981.0</v>
      </c>
      <c r="E19" s="34">
        <v>648.5</v>
      </c>
      <c r="F19" s="42">
        <v>0.3981</v>
      </c>
      <c r="G19" s="34">
        <v>960.0</v>
      </c>
      <c r="H19" s="34">
        <v>669.0</v>
      </c>
      <c r="I19" s="42">
        <v>0.4107</v>
      </c>
      <c r="J19" s="3"/>
      <c r="K19" s="3"/>
      <c r="L19" s="19"/>
      <c r="M19" s="51" t="s">
        <v>147</v>
      </c>
      <c r="N19" s="32">
        <v>118.0</v>
      </c>
      <c r="O19" s="39">
        <v>89.0</v>
      </c>
      <c r="P19" s="34">
        <v>29.5</v>
      </c>
      <c r="Q19" s="42">
        <v>0.25</v>
      </c>
      <c r="R19" s="34">
        <v>97.67</v>
      </c>
      <c r="S19" s="34">
        <v>20.3</v>
      </c>
      <c r="T19" s="42">
        <v>0.1723</v>
      </c>
      <c r="U19" s="3"/>
      <c r="V19" s="3"/>
      <c r="W19" s="19"/>
      <c r="X19" s="51" t="s">
        <v>147</v>
      </c>
      <c r="Y19" s="32">
        <v>100.0</v>
      </c>
      <c r="Z19" s="39">
        <v>40.0</v>
      </c>
      <c r="AA19" s="34">
        <v>60.0</v>
      </c>
      <c r="AB19" s="42">
        <v>0.6</v>
      </c>
      <c r="AC19" s="34">
        <v>52.33</v>
      </c>
      <c r="AD19" s="34">
        <v>47.7</v>
      </c>
      <c r="AE19" s="42">
        <v>0.4767</v>
      </c>
    </row>
    <row r="20">
      <c r="A20" s="19"/>
      <c r="B20" s="51" t="s">
        <v>152</v>
      </c>
      <c r="C20" s="32">
        <v>1845.0</v>
      </c>
      <c r="D20" s="45">
        <v>1266.0</v>
      </c>
      <c r="E20" s="34">
        <v>579.0</v>
      </c>
      <c r="F20" s="42">
        <v>0.3138</v>
      </c>
      <c r="G20" s="34">
        <v>1196.67</v>
      </c>
      <c r="H20" s="34">
        <v>648.3</v>
      </c>
      <c r="I20" s="42">
        <v>0.3514</v>
      </c>
      <c r="J20" s="3"/>
      <c r="K20" s="3"/>
      <c r="L20" s="19"/>
      <c r="M20" s="51" t="s">
        <v>152</v>
      </c>
      <c r="N20" s="32">
        <v>89.0</v>
      </c>
      <c r="O20" s="39">
        <v>113.0</v>
      </c>
      <c r="P20" s="34">
        <v>23.5</v>
      </c>
      <c r="Q20" s="42">
        <v>0.264</v>
      </c>
      <c r="R20" s="34">
        <v>98.33</v>
      </c>
      <c r="S20" s="34">
        <v>9.3</v>
      </c>
      <c r="T20" s="42">
        <v>0.1049</v>
      </c>
      <c r="U20" s="3"/>
      <c r="V20" s="3"/>
      <c r="W20" s="19"/>
      <c r="X20" s="51" t="s">
        <v>152</v>
      </c>
      <c r="Y20" s="32">
        <v>69.0</v>
      </c>
      <c r="Z20" s="39">
        <v>68.0</v>
      </c>
      <c r="AA20" s="34">
        <v>1.0</v>
      </c>
      <c r="AB20" s="42">
        <v>0.0145</v>
      </c>
      <c r="AC20" s="34">
        <v>60.0</v>
      </c>
      <c r="AD20" s="34">
        <v>9.0</v>
      </c>
      <c r="AE20" s="42">
        <v>0.1304</v>
      </c>
    </row>
    <row r="21">
      <c r="A21" s="19"/>
      <c r="B21" s="51" t="s">
        <v>153</v>
      </c>
      <c r="C21" s="32">
        <v>1503.0</v>
      </c>
      <c r="D21" s="45">
        <v>1737.0</v>
      </c>
      <c r="E21" s="34">
        <v>234.0</v>
      </c>
      <c r="F21" s="42">
        <v>0.1557</v>
      </c>
      <c r="G21" s="34">
        <v>1459.0</v>
      </c>
      <c r="H21" s="34">
        <v>44.0</v>
      </c>
      <c r="I21" s="42">
        <v>0.0293</v>
      </c>
      <c r="J21" s="3"/>
      <c r="K21" s="3"/>
      <c r="L21" s="19"/>
      <c r="M21" s="51" t="s">
        <v>153</v>
      </c>
      <c r="N21" s="32">
        <v>90.0</v>
      </c>
      <c r="O21" s="39">
        <v>104.0</v>
      </c>
      <c r="P21" s="34">
        <v>13.5</v>
      </c>
      <c r="Q21" s="42">
        <v>0.15</v>
      </c>
      <c r="R21" s="34">
        <v>104.67</v>
      </c>
      <c r="S21" s="34">
        <v>14.7</v>
      </c>
      <c r="T21" s="42">
        <v>0.163</v>
      </c>
      <c r="U21" s="3"/>
      <c r="V21" s="3"/>
      <c r="W21" s="19"/>
      <c r="X21" s="51" t="s">
        <v>153</v>
      </c>
      <c r="Y21" s="32">
        <v>71.0</v>
      </c>
      <c r="Z21" s="39">
        <v>85.0</v>
      </c>
      <c r="AA21" s="34">
        <v>13.5</v>
      </c>
      <c r="AB21" s="42">
        <v>0.1901</v>
      </c>
      <c r="AC21" s="34">
        <v>68.33</v>
      </c>
      <c r="AD21" s="34">
        <v>2.7</v>
      </c>
      <c r="AE21" s="42">
        <v>0.0376</v>
      </c>
    </row>
    <row r="22">
      <c r="A22" s="19"/>
      <c r="B22" s="51" t="s">
        <v>154</v>
      </c>
      <c r="C22" s="32">
        <v>1373.0</v>
      </c>
      <c r="D22" s="45">
        <v>1674.0</v>
      </c>
      <c r="E22" s="34">
        <v>301.0</v>
      </c>
      <c r="F22" s="42">
        <v>0.2192</v>
      </c>
      <c r="G22" s="34">
        <v>1659.0</v>
      </c>
      <c r="H22" s="34">
        <v>286.0</v>
      </c>
      <c r="I22" s="42">
        <v>0.2083</v>
      </c>
      <c r="J22" s="3"/>
      <c r="K22" s="3"/>
      <c r="L22" s="19"/>
      <c r="M22" s="51" t="s">
        <v>154</v>
      </c>
      <c r="N22" s="32">
        <v>20.0</v>
      </c>
      <c r="O22" s="39">
        <v>90.0</v>
      </c>
      <c r="P22" s="34">
        <v>69.5</v>
      </c>
      <c r="Q22" s="42">
        <v>3.475</v>
      </c>
      <c r="R22" s="34">
        <v>99.0</v>
      </c>
      <c r="S22" s="34">
        <v>79.0</v>
      </c>
      <c r="T22" s="42">
        <v>3.95</v>
      </c>
      <c r="U22" s="3"/>
      <c r="V22" s="3"/>
      <c r="W22" s="19"/>
      <c r="X22" s="51" t="s">
        <v>154</v>
      </c>
      <c r="Y22" s="32">
        <v>74.0</v>
      </c>
      <c r="Z22" s="39">
        <v>70.0</v>
      </c>
      <c r="AA22" s="34">
        <v>4.0</v>
      </c>
      <c r="AB22" s="42">
        <v>0.0541</v>
      </c>
      <c r="AC22" s="34">
        <v>80.0</v>
      </c>
      <c r="AD22" s="34">
        <v>6.0</v>
      </c>
      <c r="AE22" s="42">
        <v>0.0811</v>
      </c>
    </row>
    <row r="23">
      <c r="A23" s="19"/>
      <c r="B23" s="51" t="s">
        <v>159</v>
      </c>
      <c r="C23" s="32">
        <v>2313.0</v>
      </c>
      <c r="D23" s="45">
        <v>1438.0</v>
      </c>
      <c r="E23" s="34">
        <v>875.0</v>
      </c>
      <c r="F23" s="42">
        <v>0.3783</v>
      </c>
      <c r="G23" s="34">
        <v>1573.67</v>
      </c>
      <c r="H23" s="34">
        <v>739.3</v>
      </c>
      <c r="I23" s="42">
        <v>0.3196</v>
      </c>
      <c r="J23" s="3"/>
      <c r="K23" s="3"/>
      <c r="L23" s="19"/>
      <c r="M23" s="51" t="s">
        <v>159</v>
      </c>
      <c r="N23" s="32">
        <v>189.0</v>
      </c>
      <c r="O23" s="39">
        <v>55.0</v>
      </c>
      <c r="P23" s="34">
        <v>134.0</v>
      </c>
      <c r="Q23" s="42">
        <v>0.709</v>
      </c>
      <c r="R23" s="34">
        <v>66.33</v>
      </c>
      <c r="S23" s="34">
        <v>122.7</v>
      </c>
      <c r="T23" s="42">
        <v>0.649</v>
      </c>
      <c r="U23" s="3"/>
      <c r="V23" s="3"/>
      <c r="W23" s="19"/>
      <c r="X23" s="51" t="s">
        <v>159</v>
      </c>
      <c r="Y23" s="32">
        <v>155.0</v>
      </c>
      <c r="Z23" s="39">
        <v>73.0</v>
      </c>
      <c r="AA23" s="34">
        <v>82.5</v>
      </c>
      <c r="AB23" s="42">
        <v>0.5323</v>
      </c>
      <c r="AC23" s="34">
        <v>71.33</v>
      </c>
      <c r="AD23" s="34">
        <v>83.7</v>
      </c>
      <c r="AE23" s="42">
        <v>0.5398</v>
      </c>
    </row>
    <row r="24">
      <c r="A24" s="19"/>
      <c r="B24" s="51" t="s">
        <v>166</v>
      </c>
      <c r="C24" s="32">
        <v>1601.0</v>
      </c>
      <c r="D24" s="45">
        <v>1843.0</v>
      </c>
      <c r="E24" s="34">
        <v>242.0</v>
      </c>
      <c r="F24" s="42">
        <v>0.1512</v>
      </c>
      <c r="G24" s="34">
        <v>1729.67</v>
      </c>
      <c r="H24" s="34">
        <v>128.7</v>
      </c>
      <c r="I24" s="42">
        <v>0.0804</v>
      </c>
      <c r="J24" s="3"/>
      <c r="K24" s="3"/>
      <c r="L24" s="19"/>
      <c r="M24" s="51" t="s">
        <v>166</v>
      </c>
      <c r="N24" s="32">
        <v>151.0</v>
      </c>
      <c r="O24" s="39">
        <v>105.0</v>
      </c>
      <c r="P24" s="34">
        <v>46.5</v>
      </c>
      <c r="Q24" s="42">
        <v>0.3079</v>
      </c>
      <c r="R24" s="34">
        <v>99.67</v>
      </c>
      <c r="S24" s="34">
        <v>51.3</v>
      </c>
      <c r="T24" s="42">
        <v>0.34</v>
      </c>
      <c r="U24" s="3"/>
      <c r="V24" s="3"/>
      <c r="W24" s="19"/>
      <c r="X24" s="51" t="s">
        <v>166</v>
      </c>
      <c r="Y24" s="32">
        <v>110.0</v>
      </c>
      <c r="Z24" s="39">
        <v>115.0</v>
      </c>
      <c r="AA24" s="34">
        <v>4.5</v>
      </c>
      <c r="AB24" s="42">
        <v>0.0409</v>
      </c>
      <c r="AC24" s="34">
        <v>100.0</v>
      </c>
      <c r="AD24" s="34">
        <v>10.0</v>
      </c>
      <c r="AE24" s="42">
        <v>0.0909</v>
      </c>
    </row>
    <row r="25">
      <c r="A25" s="19"/>
      <c r="B25" s="51" t="s">
        <v>174</v>
      </c>
      <c r="C25" s="32">
        <v>1288.0</v>
      </c>
      <c r="D25" s="45">
        <v>1957.0</v>
      </c>
      <c r="E25" s="34">
        <v>669.0</v>
      </c>
      <c r="F25" s="42">
        <v>0.5194</v>
      </c>
      <c r="G25" s="34">
        <v>1762.33</v>
      </c>
      <c r="H25" s="34">
        <v>474.3</v>
      </c>
      <c r="I25" s="42">
        <v>0.3683</v>
      </c>
      <c r="J25" s="3"/>
      <c r="K25" s="3"/>
      <c r="L25" s="19"/>
      <c r="M25" s="51" t="s">
        <v>174</v>
      </c>
      <c r="N25" s="32">
        <v>78.0</v>
      </c>
      <c r="O25" s="39">
        <v>170.0</v>
      </c>
      <c r="P25" s="34">
        <v>92.0</v>
      </c>
      <c r="Q25" s="42">
        <v>1.1795</v>
      </c>
      <c r="R25" s="34">
        <v>120.0</v>
      </c>
      <c r="S25" s="34">
        <v>42.0</v>
      </c>
      <c r="T25" s="42">
        <v>0.5385</v>
      </c>
      <c r="U25" s="3"/>
      <c r="V25" s="3"/>
      <c r="W25" s="19"/>
      <c r="X25" s="51" t="s">
        <v>174</v>
      </c>
      <c r="Y25" s="32">
        <v>141.0</v>
      </c>
      <c r="Z25" s="39">
        <v>133.0</v>
      </c>
      <c r="AA25" s="34">
        <v>8.5</v>
      </c>
      <c r="AB25" s="42">
        <v>0.0603</v>
      </c>
      <c r="AC25" s="34">
        <v>113.0</v>
      </c>
      <c r="AD25" s="34">
        <v>28.0</v>
      </c>
      <c r="AE25" s="42">
        <v>0.1986</v>
      </c>
    </row>
    <row r="26">
      <c r="A26" s="19"/>
      <c r="B26" s="51" t="s">
        <v>177</v>
      </c>
      <c r="C26" s="32">
        <v>982.0</v>
      </c>
      <c r="D26" s="45">
        <v>1445.0</v>
      </c>
      <c r="E26" s="34">
        <v>462.5</v>
      </c>
      <c r="F26" s="42">
        <v>0.471</v>
      </c>
      <c r="G26" s="34">
        <v>1734.0</v>
      </c>
      <c r="H26" s="34">
        <v>752.0</v>
      </c>
      <c r="I26" s="42">
        <v>0.7658</v>
      </c>
      <c r="J26" s="3"/>
      <c r="K26" s="3"/>
      <c r="L26" s="19"/>
      <c r="M26" s="51" t="s">
        <v>177</v>
      </c>
      <c r="N26" s="32">
        <v>174.0</v>
      </c>
      <c r="O26" s="39">
        <v>115.0</v>
      </c>
      <c r="P26" s="34">
        <v>59.5</v>
      </c>
      <c r="Q26" s="42">
        <v>0.342</v>
      </c>
      <c r="R26" s="34">
        <v>139.33</v>
      </c>
      <c r="S26" s="34">
        <v>34.7</v>
      </c>
      <c r="T26" s="42">
        <v>0.1992</v>
      </c>
      <c r="U26" s="3"/>
      <c r="V26" s="3"/>
      <c r="W26" s="19"/>
      <c r="X26" s="51" t="s">
        <v>177</v>
      </c>
      <c r="Y26" s="32">
        <v>126.0</v>
      </c>
      <c r="Z26" s="39">
        <v>126.0</v>
      </c>
      <c r="AA26" s="34">
        <v>0.5</v>
      </c>
      <c r="AB26" s="42">
        <v>0.004</v>
      </c>
      <c r="AC26" s="34">
        <v>135.33</v>
      </c>
      <c r="AD26" s="34">
        <v>9.3</v>
      </c>
      <c r="AE26" s="42">
        <v>0.0741</v>
      </c>
    </row>
    <row r="27">
      <c r="A27" s="30">
        <v>2026.0</v>
      </c>
      <c r="B27" s="51" t="s">
        <v>78</v>
      </c>
      <c r="C27" s="32">
        <v>1537.0</v>
      </c>
      <c r="D27" s="45">
        <v>1135.0</v>
      </c>
      <c r="E27" s="34">
        <v>402.0</v>
      </c>
      <c r="F27" s="42">
        <v>0.2615</v>
      </c>
      <c r="G27" s="34">
        <v>1290.33</v>
      </c>
      <c r="H27" s="34">
        <v>246.7</v>
      </c>
      <c r="I27" s="42">
        <v>0.1605</v>
      </c>
      <c r="J27" s="3"/>
      <c r="K27" s="3"/>
      <c r="L27" s="36">
        <v>2026.0</v>
      </c>
      <c r="M27" s="51" t="s">
        <v>78</v>
      </c>
      <c r="N27" s="32">
        <v>150.0</v>
      </c>
      <c r="O27" s="39">
        <v>126.0</v>
      </c>
      <c r="P27" s="34">
        <v>24.0</v>
      </c>
      <c r="Q27" s="42">
        <v>0.16</v>
      </c>
      <c r="R27" s="34">
        <v>134.33</v>
      </c>
      <c r="S27" s="34">
        <v>15.7</v>
      </c>
      <c r="T27" s="42">
        <v>0.1044</v>
      </c>
      <c r="U27" s="3"/>
      <c r="V27" s="3"/>
      <c r="W27" s="37">
        <v>2026.0</v>
      </c>
      <c r="X27" s="51" t="s">
        <v>78</v>
      </c>
      <c r="Y27" s="32">
        <v>136.0</v>
      </c>
      <c r="Z27" s="39">
        <v>134.0</v>
      </c>
      <c r="AA27" s="34">
        <v>2.5</v>
      </c>
      <c r="AB27" s="42">
        <v>0.0184</v>
      </c>
      <c r="AC27" s="34">
        <v>125.67</v>
      </c>
      <c r="AD27" s="34">
        <v>10.3</v>
      </c>
      <c r="AE27" s="42">
        <v>0.076</v>
      </c>
    </row>
    <row r="28">
      <c r="A28" s="19"/>
      <c r="B28" s="51" t="s">
        <v>100</v>
      </c>
      <c r="C28" s="32">
        <v>1240.0</v>
      </c>
      <c r="D28" s="45">
        <v>1260.0</v>
      </c>
      <c r="E28" s="34">
        <v>19.5</v>
      </c>
      <c r="F28" s="42">
        <v>0.0157</v>
      </c>
      <c r="G28" s="34">
        <v>1269.0</v>
      </c>
      <c r="H28" s="34">
        <v>29.0</v>
      </c>
      <c r="I28" s="42">
        <v>0.0234</v>
      </c>
      <c r="J28" s="3"/>
      <c r="K28" s="3"/>
      <c r="L28" s="19"/>
      <c r="M28" s="51" t="s">
        <v>100</v>
      </c>
      <c r="N28" s="32">
        <v>140.0</v>
      </c>
      <c r="O28" s="39">
        <v>162.0</v>
      </c>
      <c r="P28" s="34">
        <v>22.0</v>
      </c>
      <c r="Q28" s="42">
        <v>0.1571</v>
      </c>
      <c r="R28" s="34">
        <v>134.0</v>
      </c>
      <c r="S28" s="34">
        <v>6.0</v>
      </c>
      <c r="T28" s="42">
        <v>0.0429</v>
      </c>
      <c r="U28" s="3"/>
      <c r="V28" s="3"/>
      <c r="W28" s="19"/>
      <c r="X28" s="51" t="s">
        <v>100</v>
      </c>
      <c r="Y28" s="32">
        <v>178.0</v>
      </c>
      <c r="Z28" s="39">
        <v>131.0</v>
      </c>
      <c r="AA28" s="34">
        <v>47.0</v>
      </c>
      <c r="AB28" s="42">
        <v>0.264</v>
      </c>
      <c r="AC28" s="34">
        <v>134.33</v>
      </c>
      <c r="AD28" s="34">
        <v>43.7</v>
      </c>
      <c r="AE28" s="42">
        <v>0.2453</v>
      </c>
    </row>
    <row r="29">
      <c r="A29" s="19"/>
      <c r="B29" s="51" t="s">
        <v>116</v>
      </c>
      <c r="C29" s="32">
        <v>1613.0</v>
      </c>
      <c r="D29" s="45">
        <v>1389.0</v>
      </c>
      <c r="E29" s="34">
        <v>224.5</v>
      </c>
      <c r="F29" s="42">
        <v>0.1392</v>
      </c>
      <c r="G29" s="34">
        <v>1253.0</v>
      </c>
      <c r="H29" s="34">
        <v>360.0</v>
      </c>
      <c r="I29" s="42">
        <v>0.2232</v>
      </c>
      <c r="J29" s="3"/>
      <c r="K29" s="3"/>
      <c r="L29" s="19"/>
      <c r="M29" s="51" t="s">
        <v>116</v>
      </c>
      <c r="N29" s="32">
        <v>142.0</v>
      </c>
      <c r="O29" s="39">
        <v>145.0</v>
      </c>
      <c r="P29" s="34">
        <v>3.0</v>
      </c>
      <c r="Q29" s="42">
        <v>0.0211</v>
      </c>
      <c r="R29" s="34">
        <v>154.67</v>
      </c>
      <c r="S29" s="34">
        <v>12.7</v>
      </c>
      <c r="T29" s="42">
        <v>0.0892</v>
      </c>
      <c r="U29" s="3"/>
      <c r="V29" s="3"/>
      <c r="W29" s="19"/>
      <c r="X29" s="51" t="s">
        <v>116</v>
      </c>
      <c r="Y29" s="32">
        <v>153.0</v>
      </c>
      <c r="Z29" s="39">
        <v>157.0</v>
      </c>
      <c r="AA29" s="34">
        <v>4.0</v>
      </c>
      <c r="AB29" s="42">
        <v>0.0261</v>
      </c>
      <c r="AC29" s="34">
        <v>146.67</v>
      </c>
      <c r="AD29" s="34">
        <v>6.3</v>
      </c>
      <c r="AE29" s="42">
        <v>0.0414</v>
      </c>
    </row>
    <row r="30">
      <c r="A30" s="19"/>
      <c r="B30" s="51" t="s">
        <v>138</v>
      </c>
      <c r="C30" s="32">
        <v>2859.0</v>
      </c>
      <c r="D30" s="45">
        <v>1427.0</v>
      </c>
      <c r="E30" s="34">
        <v>1432.5</v>
      </c>
      <c r="F30" s="42">
        <v>0.501</v>
      </c>
      <c r="G30" s="34">
        <v>1463.33</v>
      </c>
      <c r="H30" s="34">
        <v>1395.7</v>
      </c>
      <c r="I30" s="42">
        <v>0.4882</v>
      </c>
      <c r="J30" s="3"/>
      <c r="K30" s="3"/>
      <c r="L30" s="19"/>
      <c r="M30" s="51" t="s">
        <v>138</v>
      </c>
      <c r="N30" s="32">
        <v>196.0</v>
      </c>
      <c r="O30" s="39">
        <v>141.0</v>
      </c>
      <c r="P30" s="34">
        <v>55.0</v>
      </c>
      <c r="Q30" s="42">
        <v>0.2806</v>
      </c>
      <c r="R30" s="34">
        <v>144.0</v>
      </c>
      <c r="S30" s="34">
        <v>52.0</v>
      </c>
      <c r="T30" s="42">
        <v>0.2653</v>
      </c>
      <c r="U30" s="3"/>
      <c r="V30" s="3"/>
      <c r="W30" s="19"/>
      <c r="X30" s="51" t="s">
        <v>138</v>
      </c>
      <c r="Y30" s="32">
        <v>175.0</v>
      </c>
      <c r="Z30" s="39">
        <v>166.0</v>
      </c>
      <c r="AA30" s="34">
        <v>9.5</v>
      </c>
      <c r="AB30" s="42">
        <v>0.0543</v>
      </c>
      <c r="AC30" s="34">
        <v>155.67</v>
      </c>
      <c r="AD30" s="34">
        <v>19.3</v>
      </c>
      <c r="AE30" s="42">
        <v>0.1105</v>
      </c>
    </row>
    <row r="31">
      <c r="A31" s="19"/>
      <c r="B31" s="51" t="s">
        <v>147</v>
      </c>
      <c r="C31" s="32">
        <v>1401.0</v>
      </c>
      <c r="D31" s="45">
        <v>2236.0</v>
      </c>
      <c r="E31" s="34">
        <v>835.0</v>
      </c>
      <c r="F31" s="42">
        <v>0.596</v>
      </c>
      <c r="G31" s="34">
        <v>1904.0</v>
      </c>
      <c r="H31" s="34">
        <v>503.0</v>
      </c>
      <c r="I31" s="42">
        <v>0.359</v>
      </c>
      <c r="J31" s="3"/>
      <c r="K31" s="3"/>
      <c r="L31" s="19"/>
      <c r="M31" s="51" t="s">
        <v>147</v>
      </c>
      <c r="N31" s="32">
        <v>192.0</v>
      </c>
      <c r="O31" s="39">
        <v>169.0</v>
      </c>
      <c r="P31" s="34">
        <v>23.0</v>
      </c>
      <c r="Q31" s="42">
        <v>0.1198</v>
      </c>
      <c r="R31" s="34">
        <v>159.33</v>
      </c>
      <c r="S31" s="34">
        <v>32.7</v>
      </c>
      <c r="T31" s="42">
        <v>0.1701</v>
      </c>
      <c r="U31" s="3"/>
      <c r="V31" s="3"/>
      <c r="W31" s="19"/>
      <c r="X31" s="51" t="s">
        <v>147</v>
      </c>
      <c r="Y31" s="32">
        <v>119.0</v>
      </c>
      <c r="Z31" s="39">
        <v>164.0</v>
      </c>
      <c r="AA31" s="34">
        <v>45.0</v>
      </c>
      <c r="AB31" s="42">
        <v>0.3782</v>
      </c>
      <c r="AC31" s="34">
        <v>168.67</v>
      </c>
      <c r="AD31" s="34">
        <v>49.7</v>
      </c>
      <c r="AE31" s="42">
        <v>0.4174</v>
      </c>
    </row>
    <row r="32">
      <c r="A32" s="19"/>
      <c r="B32" s="51" t="s">
        <v>152</v>
      </c>
      <c r="C32" s="32">
        <v>1148.0</v>
      </c>
      <c r="D32" s="45">
        <v>2130.0</v>
      </c>
      <c r="E32" s="34">
        <v>982.0</v>
      </c>
      <c r="F32" s="42">
        <v>0.8554</v>
      </c>
      <c r="G32" s="34">
        <v>1957.67</v>
      </c>
      <c r="H32" s="34">
        <v>809.7</v>
      </c>
      <c r="I32" s="42">
        <v>0.7053</v>
      </c>
      <c r="J32" s="3"/>
      <c r="K32" s="3"/>
      <c r="L32" s="19"/>
      <c r="M32" s="51" t="s">
        <v>152</v>
      </c>
      <c r="N32" s="32">
        <v>163.0</v>
      </c>
      <c r="O32" s="39">
        <v>194.0</v>
      </c>
      <c r="P32" s="34">
        <v>31.0</v>
      </c>
      <c r="Q32" s="42">
        <v>0.1902</v>
      </c>
      <c r="R32" s="34">
        <v>176.67</v>
      </c>
      <c r="S32" s="34">
        <v>13.7</v>
      </c>
      <c r="T32" s="42">
        <v>0.0838</v>
      </c>
      <c r="U32" s="3"/>
      <c r="V32" s="3"/>
      <c r="W32" s="19"/>
      <c r="X32" s="51" t="s">
        <v>152</v>
      </c>
      <c r="Y32" s="32">
        <v>133.0</v>
      </c>
      <c r="Z32" s="39">
        <v>147.0</v>
      </c>
      <c r="AA32" s="34">
        <v>14.0</v>
      </c>
      <c r="AB32" s="42">
        <v>0.1053</v>
      </c>
      <c r="AC32" s="34">
        <v>149.0</v>
      </c>
      <c r="AD32" s="34">
        <v>16.0</v>
      </c>
      <c r="AE32" s="42">
        <v>0.1203</v>
      </c>
    </row>
    <row r="33">
      <c r="A33" s="19"/>
      <c r="B33" s="51" t="s">
        <v>153</v>
      </c>
      <c r="C33" s="32">
        <v>2157.0</v>
      </c>
      <c r="D33" s="45">
        <v>1275.0</v>
      </c>
      <c r="E33" s="34">
        <v>882.5</v>
      </c>
      <c r="F33" s="42">
        <v>0.4091</v>
      </c>
      <c r="G33" s="34">
        <v>1802.67</v>
      </c>
      <c r="H33" s="34">
        <v>354.3</v>
      </c>
      <c r="I33" s="42">
        <v>0.1643</v>
      </c>
      <c r="J33" s="3"/>
      <c r="K33" s="3"/>
      <c r="L33" s="19"/>
      <c r="M33" s="51" t="s">
        <v>153</v>
      </c>
      <c r="N33" s="32">
        <v>215.0</v>
      </c>
      <c r="O33" s="39">
        <v>178.0</v>
      </c>
      <c r="P33" s="34">
        <v>37.5</v>
      </c>
      <c r="Q33" s="42">
        <v>0.1744</v>
      </c>
      <c r="R33" s="34">
        <v>183.67</v>
      </c>
      <c r="S33" s="34">
        <v>31.3</v>
      </c>
      <c r="T33" s="42">
        <v>0.1457</v>
      </c>
      <c r="U33" s="3"/>
      <c r="V33" s="3"/>
      <c r="W33" s="19"/>
      <c r="X33" s="51" t="s">
        <v>153</v>
      </c>
      <c r="Y33" s="32">
        <v>221.0</v>
      </c>
      <c r="Z33" s="39">
        <v>126.0</v>
      </c>
      <c r="AA33" s="34">
        <v>95.0</v>
      </c>
      <c r="AB33" s="42">
        <v>0.4299</v>
      </c>
      <c r="AC33" s="34">
        <v>142.33</v>
      </c>
      <c r="AD33" s="34">
        <v>78.7</v>
      </c>
      <c r="AE33" s="42">
        <v>0.356</v>
      </c>
    </row>
    <row r="34">
      <c r="A34" s="19"/>
      <c r="B34" s="51" t="s">
        <v>154</v>
      </c>
      <c r="C34" s="32">
        <v>1611.0</v>
      </c>
      <c r="D34" s="45">
        <v>1653.0</v>
      </c>
      <c r="E34" s="34">
        <v>41.5</v>
      </c>
      <c r="F34" s="42">
        <v>0.0258</v>
      </c>
      <c r="G34" s="34">
        <v>1568.67</v>
      </c>
      <c r="H34" s="34">
        <v>42.3</v>
      </c>
      <c r="I34" s="42">
        <v>0.0263</v>
      </c>
      <c r="J34" s="3"/>
      <c r="K34" s="3"/>
      <c r="L34" s="19"/>
      <c r="M34" s="51" t="s">
        <v>154</v>
      </c>
      <c r="N34" s="32">
        <v>147.0</v>
      </c>
      <c r="O34" s="39">
        <v>189.0</v>
      </c>
      <c r="P34" s="34">
        <v>42.0</v>
      </c>
      <c r="Q34" s="42">
        <v>0.2857</v>
      </c>
      <c r="R34" s="34">
        <v>190.0</v>
      </c>
      <c r="S34" s="34">
        <v>43.0</v>
      </c>
      <c r="T34" s="42">
        <v>0.2925</v>
      </c>
      <c r="U34" s="3"/>
      <c r="V34" s="3"/>
      <c r="W34" s="19"/>
      <c r="X34" s="51" t="s">
        <v>154</v>
      </c>
      <c r="Y34" s="32">
        <v>89.0</v>
      </c>
      <c r="Z34" s="39">
        <v>177.0</v>
      </c>
      <c r="AA34" s="34">
        <v>88.0</v>
      </c>
      <c r="AB34" s="42">
        <v>0.9888</v>
      </c>
      <c r="AC34" s="34">
        <v>157.67</v>
      </c>
      <c r="AD34" s="34">
        <v>68.7</v>
      </c>
      <c r="AE34" s="42">
        <v>0.7715</v>
      </c>
    </row>
    <row r="35">
      <c r="A35" s="19"/>
      <c r="B35" s="51" t="s">
        <v>159</v>
      </c>
      <c r="C35" s="32">
        <v>1251.0</v>
      </c>
      <c r="D35" s="45">
        <v>1884.0</v>
      </c>
      <c r="E35" s="34">
        <v>633.0</v>
      </c>
      <c r="F35" s="42">
        <v>0.506</v>
      </c>
      <c r="G35" s="34">
        <v>1638.67</v>
      </c>
      <c r="H35" s="34">
        <v>387.7</v>
      </c>
      <c r="I35" s="42">
        <v>0.3099</v>
      </c>
      <c r="J35" s="3"/>
      <c r="K35" s="3"/>
      <c r="L35" s="19"/>
      <c r="M35" s="51" t="s">
        <v>159</v>
      </c>
      <c r="N35" s="32">
        <v>162.0</v>
      </c>
      <c r="O35" s="39">
        <v>181.0</v>
      </c>
      <c r="P35" s="34">
        <v>19.0</v>
      </c>
      <c r="Q35" s="42">
        <v>0.1173</v>
      </c>
      <c r="R35" s="34">
        <v>175.0</v>
      </c>
      <c r="S35" s="34">
        <v>13.0</v>
      </c>
      <c r="T35" s="42">
        <v>0.0802</v>
      </c>
      <c r="U35" s="3"/>
      <c r="V35" s="3"/>
      <c r="W35" s="19"/>
      <c r="X35" s="51" t="s">
        <v>159</v>
      </c>
      <c r="Y35" s="32">
        <v>159.0</v>
      </c>
      <c r="Z35" s="39">
        <v>155.0</v>
      </c>
      <c r="AA35" s="34">
        <v>4.0</v>
      </c>
      <c r="AB35" s="42">
        <v>0.0252</v>
      </c>
      <c r="AC35" s="34">
        <v>147.67</v>
      </c>
      <c r="AD35" s="34">
        <v>11.3</v>
      </c>
      <c r="AE35" s="42">
        <v>0.0713</v>
      </c>
    </row>
    <row r="36">
      <c r="A36" s="19"/>
      <c r="B36" s="51" t="s">
        <v>166</v>
      </c>
      <c r="C36" s="32">
        <v>1496.0</v>
      </c>
      <c r="D36" s="45">
        <v>1431.0</v>
      </c>
      <c r="E36" s="34">
        <v>65.0</v>
      </c>
      <c r="F36" s="56">
        <v>0.0434</v>
      </c>
      <c r="G36" s="34">
        <v>1673.0</v>
      </c>
      <c r="H36" s="34">
        <v>177.0</v>
      </c>
      <c r="I36" s="42">
        <v>0.1183</v>
      </c>
      <c r="J36" s="3"/>
      <c r="K36" s="3"/>
      <c r="L36" s="19"/>
      <c r="M36" s="51" t="s">
        <v>166</v>
      </c>
      <c r="N36" s="32">
        <v>121.0</v>
      </c>
      <c r="O36" s="34">
        <v>155.0</v>
      </c>
      <c r="P36" s="34">
        <v>33.5</v>
      </c>
      <c r="Q36" s="42">
        <v>0.2769</v>
      </c>
      <c r="R36" s="34">
        <v>174.67</v>
      </c>
      <c r="S36" s="34">
        <v>53.7</v>
      </c>
      <c r="T36" s="42">
        <v>0.4435</v>
      </c>
      <c r="U36" s="3"/>
      <c r="V36" s="3"/>
      <c r="W36" s="19"/>
      <c r="X36" s="51" t="s">
        <v>166</v>
      </c>
      <c r="Y36" s="32">
        <v>70.0</v>
      </c>
      <c r="Z36" s="34">
        <v>124.0</v>
      </c>
      <c r="AA36" s="34">
        <v>54.0</v>
      </c>
      <c r="AB36" s="42">
        <v>0.7714</v>
      </c>
      <c r="AC36" s="34">
        <v>156.33</v>
      </c>
      <c r="AD36" s="34">
        <v>86.3</v>
      </c>
      <c r="AE36" s="42">
        <v>1.2333</v>
      </c>
    </row>
    <row r="37">
      <c r="A37" s="19"/>
      <c r="B37" s="59"/>
      <c r="C37" s="60"/>
      <c r="D37" s="61"/>
      <c r="E37" s="20" t="s">
        <v>208</v>
      </c>
      <c r="F37" s="63">
        <v>421.4375</v>
      </c>
      <c r="G37" s="59"/>
      <c r="H37" s="20" t="s">
        <v>208</v>
      </c>
      <c r="I37" s="34">
        <v>364.494624</v>
      </c>
      <c r="J37" s="3"/>
      <c r="K37" s="3"/>
      <c r="L37" s="19"/>
      <c r="M37" s="65"/>
      <c r="N37" s="66"/>
      <c r="O37" s="65"/>
      <c r="P37" s="22" t="s">
        <v>208</v>
      </c>
      <c r="Q37" s="34">
        <v>37.484375</v>
      </c>
      <c r="R37" s="65"/>
      <c r="S37" s="22" t="s">
        <v>208</v>
      </c>
      <c r="T37" s="34">
        <v>31.7204301</v>
      </c>
      <c r="U37" s="3"/>
      <c r="V37" s="3"/>
      <c r="W37" s="19"/>
      <c r="X37" s="65"/>
      <c r="Y37" s="66"/>
      <c r="Z37" s="65"/>
      <c r="AA37" s="27" t="s">
        <v>208</v>
      </c>
      <c r="AB37" s="63">
        <v>27.9375</v>
      </c>
      <c r="AC37" s="65"/>
      <c r="AD37" s="27" t="s">
        <v>208</v>
      </c>
      <c r="AE37" s="34">
        <v>27.9892473</v>
      </c>
    </row>
    <row r="38">
      <c r="A38" s="19"/>
      <c r="B38" s="67"/>
      <c r="C38" s="68"/>
      <c r="D38" s="69"/>
      <c r="E38" s="70" t="s">
        <v>217</v>
      </c>
      <c r="F38" s="71">
        <v>0.3064</v>
      </c>
      <c r="G38" s="69"/>
      <c r="H38" s="70" t="s">
        <v>217</v>
      </c>
      <c r="I38" s="74">
        <v>0.2614</v>
      </c>
      <c r="J38" s="3"/>
      <c r="K38" s="3"/>
      <c r="L38" s="19"/>
      <c r="M38" s="65"/>
      <c r="N38" s="66"/>
      <c r="O38" s="65"/>
      <c r="P38" s="22" t="s">
        <v>217</v>
      </c>
      <c r="Q38" s="42">
        <v>0.4065</v>
      </c>
      <c r="R38" s="65"/>
      <c r="S38" s="22" t="s">
        <v>217</v>
      </c>
      <c r="T38" s="42">
        <v>0.3639</v>
      </c>
      <c r="U38" s="3"/>
      <c r="V38" s="3"/>
      <c r="W38" s="19"/>
      <c r="X38" s="65"/>
      <c r="Y38" s="66"/>
      <c r="Z38" s="65"/>
      <c r="AA38" s="27" t="s">
        <v>217</v>
      </c>
      <c r="AB38" s="42">
        <v>0.3065</v>
      </c>
      <c r="AC38" s="65"/>
      <c r="AD38" s="27" t="s">
        <v>217</v>
      </c>
      <c r="AE38" s="42">
        <v>0.3119</v>
      </c>
    </row>
    <row r="39">
      <c r="A39" s="19"/>
      <c r="B39" s="65"/>
      <c r="C39" s="66"/>
      <c r="D39" s="65"/>
      <c r="E39" s="65"/>
      <c r="F39" s="65"/>
      <c r="G39" s="65"/>
      <c r="H39" s="65"/>
      <c r="I39" s="6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AE39" s="3"/>
    </row>
    <row r="40">
      <c r="A40" s="19"/>
      <c r="B40" s="65"/>
      <c r="C40" s="75"/>
      <c r="D40" s="65"/>
      <c r="E40" s="65"/>
      <c r="F40" s="65"/>
      <c r="G40" s="65"/>
      <c r="H40" s="65"/>
      <c r="I40" s="6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AE40" s="3"/>
    </row>
    <row r="41">
      <c r="A41" s="19"/>
      <c r="B41" s="65"/>
      <c r="C41" s="66"/>
      <c r="D41" s="65"/>
      <c r="E41" s="65"/>
      <c r="F41" s="65"/>
      <c r="G41" s="65"/>
      <c r="H41" s="65"/>
      <c r="I41" s="65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AE41" s="3"/>
    </row>
    <row r="42">
      <c r="A42" s="19"/>
      <c r="B42" s="65"/>
      <c r="C42" s="66"/>
      <c r="D42" s="65"/>
      <c r="E42" s="65"/>
      <c r="F42" s="65"/>
      <c r="G42" s="65"/>
      <c r="H42" s="65"/>
      <c r="I42" s="65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AE42" s="3"/>
    </row>
    <row r="43">
      <c r="A43" s="19"/>
      <c r="B43" s="65"/>
      <c r="C43" s="66"/>
      <c r="D43" s="65"/>
      <c r="E43" s="65"/>
      <c r="F43" s="65"/>
      <c r="G43" s="65"/>
      <c r="H43" s="65"/>
      <c r="I43" s="6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AE43" s="3"/>
    </row>
    <row r="44">
      <c r="A44" s="19"/>
      <c r="B44" s="65"/>
      <c r="C44" s="66"/>
      <c r="D44" s="65"/>
      <c r="E44" s="65"/>
      <c r="F44" s="65"/>
      <c r="G44" s="65"/>
      <c r="H44" s="65"/>
      <c r="I44" s="65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AE44" s="3"/>
    </row>
    <row r="45">
      <c r="A45" s="19"/>
      <c r="B45" s="65"/>
      <c r="C45" s="66"/>
      <c r="D45" s="65"/>
      <c r="E45" s="65"/>
      <c r="F45" s="65"/>
      <c r="G45" s="65"/>
      <c r="H45" s="65"/>
      <c r="I45" s="6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AE45" s="3"/>
    </row>
    <row r="46">
      <c r="A46" s="19"/>
      <c r="B46" s="65"/>
      <c r="C46" s="66"/>
      <c r="D46" s="65"/>
      <c r="E46" s="65"/>
      <c r="F46" s="65"/>
      <c r="G46" s="65"/>
      <c r="H46" s="65"/>
      <c r="I46" s="6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AE46" s="3"/>
    </row>
    <row r="47">
      <c r="A47" s="19"/>
      <c r="B47" s="65"/>
      <c r="C47" s="66"/>
      <c r="D47" s="65"/>
      <c r="E47" s="65"/>
      <c r="F47" s="65"/>
      <c r="G47" s="65"/>
      <c r="H47" s="65"/>
      <c r="I47" s="65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AE47" s="3"/>
    </row>
    <row r="48">
      <c r="A48" s="19"/>
      <c r="B48" s="65"/>
      <c r="C48" s="66"/>
      <c r="D48" s="65"/>
      <c r="E48" s="65"/>
      <c r="F48" s="65"/>
      <c r="G48" s="65"/>
      <c r="H48" s="65"/>
      <c r="I48" s="65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AE48" s="3"/>
    </row>
    <row r="49">
      <c r="A49" s="19"/>
      <c r="B49" s="65"/>
      <c r="C49" s="66"/>
      <c r="D49" s="65"/>
      <c r="E49" s="65"/>
      <c r="F49" s="65"/>
      <c r="G49" s="65"/>
      <c r="H49" s="65"/>
      <c r="I49" s="6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AE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AE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AE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AE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AE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AE54" s="3"/>
    </row>
  </sheetData>
  <mergeCells count="3">
    <mergeCell ref="N1:P1"/>
    <mergeCell ref="Y1:AA1"/>
    <mergeCell ref="X39:AD5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13.0"/>
    <col customWidth="1" min="3" max="3" width="15.0"/>
    <col customWidth="1" min="4" max="6" width="10.0"/>
    <col customWidth="1" min="7" max="7" width="13.0"/>
    <col customWidth="1" min="8" max="8" width="11.71"/>
    <col customWidth="1" min="9" max="9" width="15.0"/>
    <col customWidth="1" min="10" max="12" width="10.0"/>
    <col customWidth="1" min="13" max="13" width="13.0"/>
    <col customWidth="1" min="14" max="14" width="8.71"/>
    <col customWidth="1" min="15" max="15" width="3.0"/>
    <col customWidth="1" min="16" max="16" width="8.71"/>
    <col customWidth="1" min="17" max="17" width="34.0"/>
    <col customWidth="1" min="18" max="18" width="14.0"/>
    <col customWidth="1" min="19" max="26" width="8.71"/>
  </cols>
  <sheetData>
    <row r="1">
      <c r="A1" s="11" t="s">
        <v>13</v>
      </c>
    </row>
    <row r="2">
      <c r="A2" s="14" t="s">
        <v>15</v>
      </c>
    </row>
    <row r="4" ht="31.5" customHeight="1">
      <c r="A4" s="15" t="s">
        <v>17</v>
      </c>
      <c r="B4" s="15" t="s">
        <v>20</v>
      </c>
      <c r="C4" s="15" t="s">
        <v>21</v>
      </c>
      <c r="D4" s="15" t="s">
        <v>24</v>
      </c>
      <c r="E4" s="15" t="s">
        <v>27</v>
      </c>
      <c r="F4" s="15" t="s">
        <v>28</v>
      </c>
      <c r="G4" s="15" t="s">
        <v>29</v>
      </c>
      <c r="H4" s="18" t="s">
        <v>32</v>
      </c>
      <c r="I4" s="15" t="s">
        <v>34</v>
      </c>
      <c r="J4" s="15" t="s">
        <v>38</v>
      </c>
      <c r="K4" s="15" t="s">
        <v>39</v>
      </c>
      <c r="L4" s="15" t="s">
        <v>42</v>
      </c>
      <c r="M4" s="15" t="s">
        <v>44</v>
      </c>
      <c r="Q4" s="4" t="s">
        <v>48</v>
      </c>
      <c r="R4" s="4" t="s">
        <v>53</v>
      </c>
    </row>
    <row r="5">
      <c r="A5" s="23">
        <v>1.0</v>
      </c>
      <c r="B5" s="25">
        <v>4200.0</v>
      </c>
      <c r="F5" s="35">
        <f>B5</f>
        <v>4200</v>
      </c>
      <c r="G5" s="35">
        <f>B6-B5</f>
        <v>110</v>
      </c>
      <c r="I5" s="43">
        <f t="shared" ref="I5:I28" si="1">INTERCEPT($B$5:$B$28,$A$5:$A$28)+SLOPE($B$5:$B$28,$A$5:$A$28)*A5</f>
        <v>4433.183333</v>
      </c>
      <c r="Q5" s="44" t="s">
        <v>137</v>
      </c>
      <c r="R5" s="46">
        <v>0.5</v>
      </c>
    </row>
    <row r="6">
      <c r="A6" s="23">
        <v>2.0</v>
      </c>
      <c r="B6" s="25">
        <v>4310.0</v>
      </c>
      <c r="E6" s="35">
        <f>B5</f>
        <v>4200</v>
      </c>
      <c r="F6" s="43">
        <f t="shared" ref="F6:F28" si="2">$R$9*B6+(1-$R$9)*H6</f>
        <v>4310</v>
      </c>
      <c r="G6" s="43">
        <f t="shared" ref="G6:G28" si="3">$R$10*(F6-F5)+(1-$R$10)*G5</f>
        <v>110</v>
      </c>
      <c r="H6" s="35">
        <f t="shared" ref="H6:H28" si="4">F5+G5</f>
        <v>4310</v>
      </c>
      <c r="I6" s="48">
        <f t="shared" si="1"/>
        <v>4467.598551</v>
      </c>
      <c r="J6" s="48"/>
      <c r="K6" s="48"/>
      <c r="L6" s="48"/>
      <c r="M6" s="49"/>
      <c r="Q6" s="44" t="s">
        <v>176</v>
      </c>
      <c r="R6" s="50">
        <v>0.3</v>
      </c>
    </row>
    <row r="7">
      <c r="A7" s="23">
        <v>3.0</v>
      </c>
      <c r="B7" s="25">
        <v>4475.0</v>
      </c>
      <c r="E7" s="43">
        <f t="shared" ref="E7:E29" si="5">$R$8*B6+(1-$R$8)*E6</f>
        <v>4233</v>
      </c>
      <c r="F7" s="43">
        <f t="shared" si="2"/>
        <v>4442</v>
      </c>
      <c r="G7" s="43">
        <f t="shared" si="3"/>
        <v>114.4</v>
      </c>
      <c r="H7" s="43">
        <f t="shared" si="4"/>
        <v>4420</v>
      </c>
      <c r="I7" s="48">
        <f t="shared" si="1"/>
        <v>4502.013768</v>
      </c>
      <c r="J7" s="48"/>
      <c r="K7" s="48"/>
      <c r="L7" s="48"/>
      <c r="M7" s="49"/>
      <c r="Q7" s="14" t="s">
        <v>178</v>
      </c>
      <c r="R7" s="52">
        <v>0.2</v>
      </c>
    </row>
    <row r="8">
      <c r="A8" s="23">
        <v>4.0</v>
      </c>
      <c r="B8" s="25">
        <v>4590.0</v>
      </c>
      <c r="C8" s="48">
        <f t="shared" ref="C8:C28" si="6">AVERAGE(B5:B7)</f>
        <v>4328.333333</v>
      </c>
      <c r="D8" s="48">
        <f t="shared" ref="D8:D28" si="7">$R$5*B7+$R$6*B6+$R$7*B5</f>
        <v>4370.5</v>
      </c>
      <c r="E8" s="48">
        <f t="shared" si="5"/>
        <v>4305.6</v>
      </c>
      <c r="F8" s="48">
        <f t="shared" si="2"/>
        <v>4569.84</v>
      </c>
      <c r="G8" s="49">
        <f t="shared" si="3"/>
        <v>117.088</v>
      </c>
      <c r="H8" s="43">
        <f t="shared" si="4"/>
        <v>4556.4</v>
      </c>
      <c r="I8" s="48">
        <f t="shared" si="1"/>
        <v>4536.428986</v>
      </c>
      <c r="J8" s="48">
        <f t="shared" ref="J8:J28" si="8">B8-C8</f>
        <v>261.6666667</v>
      </c>
      <c r="K8" s="48">
        <f t="shared" ref="K8:K28" si="9">ABS(J8)</f>
        <v>261.6666667</v>
      </c>
      <c r="L8" s="48">
        <f t="shared" ref="L8:L28" si="10">J8^2</f>
        <v>68469.44444</v>
      </c>
      <c r="M8" s="49">
        <f t="shared" ref="M8:M28" si="11">IF(B8=0,"",K8/B8*100)</f>
        <v>5.700798838</v>
      </c>
      <c r="Q8" s="52" t="s">
        <v>179</v>
      </c>
      <c r="R8" s="52">
        <v>0.3</v>
      </c>
    </row>
    <row r="9">
      <c r="A9" s="23">
        <v>5.0</v>
      </c>
      <c r="B9" s="25">
        <v>4620.0</v>
      </c>
      <c r="C9" s="48">
        <f t="shared" si="6"/>
        <v>4458.333333</v>
      </c>
      <c r="D9" s="48">
        <f t="shared" si="7"/>
        <v>4499.5</v>
      </c>
      <c r="E9" s="48">
        <f t="shared" si="5"/>
        <v>4390.92</v>
      </c>
      <c r="F9" s="48">
        <f t="shared" si="2"/>
        <v>4660.1568</v>
      </c>
      <c r="G9" s="49">
        <f t="shared" si="3"/>
        <v>111.73376</v>
      </c>
      <c r="H9" s="53">
        <f t="shared" si="4"/>
        <v>4686.928</v>
      </c>
      <c r="I9" s="48">
        <f t="shared" si="1"/>
        <v>4570.844203</v>
      </c>
      <c r="J9" s="48">
        <f t="shared" si="8"/>
        <v>161.6666667</v>
      </c>
      <c r="K9" s="48">
        <f t="shared" si="9"/>
        <v>161.6666667</v>
      </c>
      <c r="L9" s="48">
        <f t="shared" si="10"/>
        <v>26136.11111</v>
      </c>
      <c r="M9" s="49">
        <f t="shared" si="11"/>
        <v>3.499278499</v>
      </c>
      <c r="Q9" s="15" t="s">
        <v>180</v>
      </c>
      <c r="R9" s="15">
        <v>0.4</v>
      </c>
    </row>
    <row r="10">
      <c r="A10" s="23">
        <v>6.0</v>
      </c>
      <c r="B10" s="25">
        <v>4780.0</v>
      </c>
      <c r="C10" s="48">
        <f t="shared" si="6"/>
        <v>4561.666667</v>
      </c>
      <c r="D10" s="48">
        <f t="shared" si="7"/>
        <v>4582</v>
      </c>
      <c r="E10" s="48">
        <f t="shared" si="5"/>
        <v>4459.644</v>
      </c>
      <c r="F10" s="48">
        <f t="shared" si="2"/>
        <v>4775.134336</v>
      </c>
      <c r="G10" s="49">
        <f t="shared" si="3"/>
        <v>112.3825152</v>
      </c>
      <c r="H10" s="53">
        <f t="shared" si="4"/>
        <v>4771.89056</v>
      </c>
      <c r="I10" s="48">
        <f t="shared" si="1"/>
        <v>4605.25942</v>
      </c>
      <c r="J10" s="48">
        <f t="shared" si="8"/>
        <v>218.3333333</v>
      </c>
      <c r="K10" s="48">
        <f t="shared" si="9"/>
        <v>218.3333333</v>
      </c>
      <c r="L10" s="48">
        <f t="shared" si="10"/>
        <v>47669.44444</v>
      </c>
      <c r="M10" s="49">
        <f t="shared" si="11"/>
        <v>4.567642957</v>
      </c>
      <c r="Q10" s="44" t="s">
        <v>194</v>
      </c>
      <c r="R10" s="55">
        <v>0.2</v>
      </c>
    </row>
    <row r="11">
      <c r="A11" s="23">
        <v>7.0</v>
      </c>
      <c r="B11" s="54">
        <v>4850.0</v>
      </c>
      <c r="C11" s="48">
        <f t="shared" si="6"/>
        <v>4663.333333</v>
      </c>
      <c r="D11" s="43">
        <f t="shared" si="7"/>
        <v>4694</v>
      </c>
      <c r="E11" s="43">
        <f t="shared" si="5"/>
        <v>4555.7508</v>
      </c>
      <c r="F11" s="43">
        <f t="shared" si="2"/>
        <v>4872.510111</v>
      </c>
      <c r="G11" s="43">
        <f t="shared" si="3"/>
        <v>109.3811671</v>
      </c>
      <c r="H11" s="53">
        <f t="shared" si="4"/>
        <v>4887.516851</v>
      </c>
      <c r="I11" s="48">
        <f t="shared" si="1"/>
        <v>4639.674638</v>
      </c>
      <c r="J11" s="53">
        <f t="shared" si="8"/>
        <v>186.6666667</v>
      </c>
      <c r="K11" s="43">
        <f t="shared" si="9"/>
        <v>186.6666667</v>
      </c>
      <c r="L11" s="43">
        <f t="shared" si="10"/>
        <v>34844.44444</v>
      </c>
      <c r="M11" s="43">
        <f t="shared" si="11"/>
        <v>3.848797251</v>
      </c>
      <c r="Q11" s="62"/>
      <c r="R11" s="64"/>
    </row>
    <row r="12">
      <c r="A12" s="52">
        <v>8.0</v>
      </c>
      <c r="B12" s="52">
        <v>4710.0</v>
      </c>
      <c r="C12" s="35">
        <f t="shared" si="6"/>
        <v>4750</v>
      </c>
      <c r="D12" s="43">
        <f t="shared" si="7"/>
        <v>4783</v>
      </c>
      <c r="E12" s="43">
        <f t="shared" si="5"/>
        <v>4644.02556</v>
      </c>
      <c r="F12" s="43">
        <f t="shared" si="2"/>
        <v>4873.134767</v>
      </c>
      <c r="G12" s="43">
        <f t="shared" si="3"/>
        <v>87.62986488</v>
      </c>
      <c r="H12" s="43">
        <f t="shared" si="4"/>
        <v>4981.891278</v>
      </c>
      <c r="I12" s="43">
        <f t="shared" si="1"/>
        <v>4674.089855</v>
      </c>
      <c r="J12" s="35">
        <f t="shared" si="8"/>
        <v>-40</v>
      </c>
      <c r="K12" s="43">
        <f t="shared" si="9"/>
        <v>40</v>
      </c>
      <c r="L12" s="43">
        <f t="shared" si="10"/>
        <v>1600</v>
      </c>
      <c r="M12" s="43">
        <f t="shared" si="11"/>
        <v>0.8492569002</v>
      </c>
      <c r="Q12" s="44" t="s">
        <v>200</v>
      </c>
      <c r="R12" s="64">
        <f>C8</f>
        <v>4328.333333</v>
      </c>
    </row>
    <row r="13">
      <c r="A13" s="52">
        <v>9.0</v>
      </c>
      <c r="B13" s="52">
        <v>4660.0</v>
      </c>
      <c r="C13" s="35">
        <f t="shared" si="6"/>
        <v>4780</v>
      </c>
      <c r="D13" s="43">
        <f t="shared" si="7"/>
        <v>4766</v>
      </c>
      <c r="E13" s="43">
        <f t="shared" si="5"/>
        <v>4663.817892</v>
      </c>
      <c r="F13" s="43">
        <f t="shared" si="2"/>
        <v>4840.458779</v>
      </c>
      <c r="G13" s="43">
        <f t="shared" si="3"/>
        <v>63.56869435</v>
      </c>
      <c r="H13" s="43">
        <f t="shared" si="4"/>
        <v>4960.764632</v>
      </c>
      <c r="I13" s="43">
        <f t="shared" si="1"/>
        <v>4708.505072</v>
      </c>
      <c r="J13" s="35">
        <f t="shared" si="8"/>
        <v>-120</v>
      </c>
      <c r="K13" s="43">
        <f t="shared" si="9"/>
        <v>120</v>
      </c>
      <c r="L13" s="43">
        <f t="shared" si="10"/>
        <v>14400</v>
      </c>
      <c r="M13" s="43">
        <f t="shared" si="11"/>
        <v>2.575107296</v>
      </c>
      <c r="Q13" s="44" t="s">
        <v>219</v>
      </c>
      <c r="R13" s="64">
        <f>D8</f>
        <v>4370.5</v>
      </c>
    </row>
    <row r="14">
      <c r="A14" s="14">
        <v>10.0</v>
      </c>
      <c r="B14" s="52">
        <v>4930.0</v>
      </c>
      <c r="C14" s="43">
        <f t="shared" si="6"/>
        <v>4740</v>
      </c>
      <c r="D14" s="43">
        <f t="shared" si="7"/>
        <v>4713</v>
      </c>
      <c r="E14" s="43">
        <f t="shared" si="5"/>
        <v>4662.672524</v>
      </c>
      <c r="F14" s="43">
        <f t="shared" si="2"/>
        <v>4914.416484</v>
      </c>
      <c r="G14" s="43">
        <f t="shared" si="3"/>
        <v>65.64649649</v>
      </c>
      <c r="H14" s="43">
        <f t="shared" si="4"/>
        <v>4904.027473</v>
      </c>
      <c r="I14" s="43">
        <f t="shared" si="1"/>
        <v>4742.92029</v>
      </c>
      <c r="J14" s="43">
        <f t="shared" si="8"/>
        <v>190</v>
      </c>
      <c r="K14" s="43">
        <f t="shared" si="9"/>
        <v>190</v>
      </c>
      <c r="L14" s="43">
        <f t="shared" si="10"/>
        <v>36100</v>
      </c>
      <c r="M14" s="43">
        <f t="shared" si="11"/>
        <v>3.853955375</v>
      </c>
      <c r="Q14" s="44" t="s">
        <v>221</v>
      </c>
      <c r="R14" s="64">
        <f>E29</f>
        <v>5273.176416</v>
      </c>
    </row>
    <row r="15">
      <c r="A15" s="14">
        <v>11.0</v>
      </c>
      <c r="B15" s="52">
        <v>5280.0</v>
      </c>
      <c r="C15" s="43">
        <f t="shared" si="6"/>
        <v>4766.666667</v>
      </c>
      <c r="D15" s="43">
        <f t="shared" si="7"/>
        <v>4805</v>
      </c>
      <c r="E15" s="43">
        <f t="shared" si="5"/>
        <v>4742.870767</v>
      </c>
      <c r="F15" s="43">
        <f t="shared" si="2"/>
        <v>5100.037788</v>
      </c>
      <c r="G15" s="43">
        <f t="shared" si="3"/>
        <v>89.64145805</v>
      </c>
      <c r="H15" s="43">
        <f t="shared" si="4"/>
        <v>4980.06298</v>
      </c>
      <c r="I15" s="43">
        <f t="shared" si="1"/>
        <v>4777.335507</v>
      </c>
      <c r="J15" s="43">
        <f t="shared" si="8"/>
        <v>513.3333333</v>
      </c>
      <c r="K15" s="43">
        <f t="shared" si="9"/>
        <v>513.3333333</v>
      </c>
      <c r="L15" s="43">
        <f t="shared" si="10"/>
        <v>263511.1111</v>
      </c>
      <c r="M15" s="43">
        <f t="shared" si="11"/>
        <v>9.722222222</v>
      </c>
      <c r="Q15" s="44" t="s">
        <v>224</v>
      </c>
      <c r="R15" s="64">
        <f>F28+G28</f>
        <v>5523.441398</v>
      </c>
    </row>
    <row r="16">
      <c r="A16" s="52">
        <v>12.0</v>
      </c>
      <c r="B16" s="52">
        <v>5560.0</v>
      </c>
      <c r="C16" s="43">
        <f t="shared" si="6"/>
        <v>4956.666667</v>
      </c>
      <c r="D16" s="43">
        <f t="shared" si="7"/>
        <v>5051</v>
      </c>
      <c r="E16" s="43">
        <f t="shared" si="5"/>
        <v>4904.009537</v>
      </c>
      <c r="F16" s="43">
        <f t="shared" si="2"/>
        <v>5337.807548</v>
      </c>
      <c r="G16" s="43">
        <f t="shared" si="3"/>
        <v>119.2671183</v>
      </c>
      <c r="H16" s="43">
        <f t="shared" si="4"/>
        <v>5189.679246</v>
      </c>
      <c r="I16" s="43">
        <f t="shared" si="1"/>
        <v>4811.750725</v>
      </c>
      <c r="J16" s="43">
        <f t="shared" si="8"/>
        <v>603.3333333</v>
      </c>
      <c r="K16" s="43">
        <f t="shared" si="9"/>
        <v>603.3333333</v>
      </c>
      <c r="L16" s="43">
        <f t="shared" si="10"/>
        <v>364011.1111</v>
      </c>
      <c r="M16" s="43">
        <f t="shared" si="11"/>
        <v>10.85131894</v>
      </c>
      <c r="Q16" s="44" t="s">
        <v>228</v>
      </c>
      <c r="R16" s="64">
        <f>FORECAST(25,B5:B28,A5:A28)</f>
        <v>5259.148551</v>
      </c>
    </row>
    <row r="17">
      <c r="A17" s="52">
        <v>13.0</v>
      </c>
      <c r="B17" s="52">
        <v>4340.0</v>
      </c>
      <c r="C17" s="43">
        <f t="shared" si="6"/>
        <v>5256.666667</v>
      </c>
      <c r="D17" s="43">
        <f t="shared" si="7"/>
        <v>5350</v>
      </c>
      <c r="E17" s="43">
        <f t="shared" si="5"/>
        <v>5100.806676</v>
      </c>
      <c r="F17" s="43">
        <f t="shared" si="2"/>
        <v>5010.2448</v>
      </c>
      <c r="G17" s="43">
        <f t="shared" si="3"/>
        <v>29.90114505</v>
      </c>
      <c r="H17" s="43">
        <f t="shared" si="4"/>
        <v>5457.074666</v>
      </c>
      <c r="I17" s="43">
        <f t="shared" si="1"/>
        <v>4846.165942</v>
      </c>
      <c r="J17" s="43">
        <f t="shared" si="8"/>
        <v>-916.6666667</v>
      </c>
      <c r="K17" s="43">
        <f t="shared" si="9"/>
        <v>916.6666667</v>
      </c>
      <c r="L17" s="43">
        <f t="shared" si="10"/>
        <v>840277.7778</v>
      </c>
      <c r="M17" s="43">
        <f t="shared" si="11"/>
        <v>21.12135177</v>
      </c>
      <c r="Q17" s="44" t="s">
        <v>230</v>
      </c>
      <c r="R17" s="64">
        <f>AVERAGE(B26:B28)</f>
        <v>5413.333333</v>
      </c>
    </row>
    <row r="18">
      <c r="A18" s="52">
        <v>14.0</v>
      </c>
      <c r="B18" s="52">
        <v>4450.0</v>
      </c>
      <c r="C18" s="43">
        <f t="shared" si="6"/>
        <v>5060</v>
      </c>
      <c r="D18" s="43">
        <f t="shared" si="7"/>
        <v>4894</v>
      </c>
      <c r="E18" s="43">
        <f t="shared" si="5"/>
        <v>4872.564673</v>
      </c>
      <c r="F18" s="43">
        <f t="shared" si="2"/>
        <v>4804.087567</v>
      </c>
      <c r="G18" s="43">
        <f t="shared" si="3"/>
        <v>-17.31053053</v>
      </c>
      <c r="H18" s="43">
        <f t="shared" si="4"/>
        <v>5040.145945</v>
      </c>
      <c r="I18" s="43">
        <f t="shared" si="1"/>
        <v>4880.581159</v>
      </c>
      <c r="J18" s="43">
        <f t="shared" si="8"/>
        <v>-610</v>
      </c>
      <c r="K18" s="43">
        <f t="shared" si="9"/>
        <v>610</v>
      </c>
      <c r="L18" s="43">
        <f t="shared" si="10"/>
        <v>372100</v>
      </c>
      <c r="M18" s="43">
        <f t="shared" si="11"/>
        <v>13.70786517</v>
      </c>
      <c r="Q18" s="44" t="s">
        <v>235</v>
      </c>
      <c r="R18" s="64">
        <f>AVERAGE(K8:K28)</f>
        <v>307.3809524</v>
      </c>
    </row>
    <row r="19">
      <c r="A19" s="52">
        <v>15.0</v>
      </c>
      <c r="B19" s="52">
        <v>4610.0</v>
      </c>
      <c r="C19" s="43">
        <f t="shared" si="6"/>
        <v>4783.333333</v>
      </c>
      <c r="D19" s="43">
        <f t="shared" si="7"/>
        <v>4639</v>
      </c>
      <c r="E19" s="43">
        <f t="shared" si="5"/>
        <v>4745.795271</v>
      </c>
      <c r="F19" s="43">
        <f t="shared" si="2"/>
        <v>4716.066222</v>
      </c>
      <c r="G19" s="43">
        <f t="shared" si="3"/>
        <v>-31.45269343</v>
      </c>
      <c r="H19" s="43">
        <f t="shared" si="4"/>
        <v>4786.777036</v>
      </c>
      <c r="I19" s="43">
        <f t="shared" si="1"/>
        <v>4914.996377</v>
      </c>
      <c r="J19" s="43">
        <f t="shared" si="8"/>
        <v>-173.3333333</v>
      </c>
      <c r="K19" s="43">
        <f t="shared" si="9"/>
        <v>173.3333333</v>
      </c>
      <c r="L19" s="43">
        <f t="shared" si="10"/>
        <v>30044.44444</v>
      </c>
      <c r="M19" s="43">
        <f t="shared" si="11"/>
        <v>3.759942155</v>
      </c>
      <c r="Q19" s="44" t="s">
        <v>237</v>
      </c>
      <c r="R19" s="64">
        <f>AVERAGE(L8:L28)</f>
        <v>143397.2222</v>
      </c>
    </row>
    <row r="20">
      <c r="A20" s="52">
        <v>16.0</v>
      </c>
      <c r="B20" s="52">
        <v>4740.0</v>
      </c>
      <c r="C20" s="43">
        <f t="shared" si="6"/>
        <v>4466.666667</v>
      </c>
      <c r="D20" s="43">
        <f t="shared" si="7"/>
        <v>4508</v>
      </c>
      <c r="E20" s="43">
        <f t="shared" si="5"/>
        <v>4705.05669</v>
      </c>
      <c r="F20" s="43">
        <f t="shared" si="2"/>
        <v>4706.768117</v>
      </c>
      <c r="G20" s="43">
        <f t="shared" si="3"/>
        <v>-27.0217757</v>
      </c>
      <c r="H20" s="43">
        <f t="shared" si="4"/>
        <v>4684.613528</v>
      </c>
      <c r="I20" s="43">
        <f t="shared" si="1"/>
        <v>4949.411594</v>
      </c>
      <c r="J20" s="43">
        <f t="shared" si="8"/>
        <v>273.3333333</v>
      </c>
      <c r="K20" s="43">
        <f t="shared" si="9"/>
        <v>273.3333333</v>
      </c>
      <c r="L20" s="43">
        <f t="shared" si="10"/>
        <v>74711.11111</v>
      </c>
      <c r="M20" s="43">
        <f t="shared" si="11"/>
        <v>5.76652602</v>
      </c>
      <c r="Q20" s="44" t="s">
        <v>241</v>
      </c>
      <c r="R20" s="64">
        <f>AVERAGE(M8:M28)</f>
        <v>6.260402803</v>
      </c>
    </row>
    <row r="21" ht="15.75" customHeight="1">
      <c r="A21" s="52">
        <v>17.0</v>
      </c>
      <c r="B21" s="52">
        <v>4820.0</v>
      </c>
      <c r="C21" s="43">
        <f t="shared" si="6"/>
        <v>4600</v>
      </c>
      <c r="D21" s="43">
        <f t="shared" si="7"/>
        <v>4643</v>
      </c>
      <c r="E21" s="43">
        <f t="shared" si="5"/>
        <v>4715.539683</v>
      </c>
      <c r="F21" s="43">
        <f t="shared" si="2"/>
        <v>4735.847805</v>
      </c>
      <c r="G21" s="43">
        <f t="shared" si="3"/>
        <v>-15.80148301</v>
      </c>
      <c r="H21" s="43">
        <f t="shared" si="4"/>
        <v>4679.746341</v>
      </c>
      <c r="I21" s="43">
        <f t="shared" si="1"/>
        <v>4983.826812</v>
      </c>
      <c r="J21" s="43">
        <f t="shared" si="8"/>
        <v>220</v>
      </c>
      <c r="K21" s="43">
        <f t="shared" si="9"/>
        <v>220</v>
      </c>
      <c r="L21" s="43">
        <f t="shared" si="10"/>
        <v>48400</v>
      </c>
      <c r="M21" s="43">
        <f t="shared" si="11"/>
        <v>4.564315353</v>
      </c>
      <c r="Q21" s="52" t="s">
        <v>246</v>
      </c>
      <c r="R21" s="43">
        <f>SUM(J8:J28)/R18</f>
        <v>7.444616576</v>
      </c>
    </row>
    <row r="22" ht="15.75" customHeight="1">
      <c r="A22" s="52">
        <v>18.0</v>
      </c>
      <c r="B22" s="52">
        <v>4970.0</v>
      </c>
      <c r="C22" s="43">
        <f t="shared" si="6"/>
        <v>4723.333333</v>
      </c>
      <c r="D22" s="43">
        <f t="shared" si="7"/>
        <v>4754</v>
      </c>
      <c r="E22" s="43">
        <f t="shared" si="5"/>
        <v>4746.877778</v>
      </c>
      <c r="F22" s="43">
        <f t="shared" si="2"/>
        <v>4820.027793</v>
      </c>
      <c r="G22" s="43">
        <f t="shared" si="3"/>
        <v>4.194811252</v>
      </c>
      <c r="H22" s="43">
        <f t="shared" si="4"/>
        <v>4720.046322</v>
      </c>
      <c r="I22" s="43">
        <f t="shared" si="1"/>
        <v>5018.242029</v>
      </c>
      <c r="J22" s="43">
        <f t="shared" si="8"/>
        <v>246.6666667</v>
      </c>
      <c r="K22" s="43">
        <f t="shared" si="9"/>
        <v>246.6666667</v>
      </c>
      <c r="L22" s="43">
        <f t="shared" si="10"/>
        <v>60844.44444</v>
      </c>
      <c r="M22" s="43">
        <f t="shared" si="11"/>
        <v>4.963112005</v>
      </c>
    </row>
    <row r="23" ht="15.75" customHeight="1">
      <c r="A23" s="52">
        <v>19.0</v>
      </c>
      <c r="B23" s="52">
        <v>5060.0</v>
      </c>
      <c r="C23" s="43">
        <f t="shared" si="6"/>
        <v>4843.333333</v>
      </c>
      <c r="D23" s="43">
        <f t="shared" si="7"/>
        <v>4879</v>
      </c>
      <c r="E23" s="43">
        <f t="shared" si="5"/>
        <v>4813.814445</v>
      </c>
      <c r="F23" s="43">
        <f t="shared" si="2"/>
        <v>4918.533563</v>
      </c>
      <c r="G23" s="43">
        <f t="shared" si="3"/>
        <v>23.05700291</v>
      </c>
      <c r="H23" s="43">
        <f t="shared" si="4"/>
        <v>4824.222604</v>
      </c>
      <c r="I23" s="43">
        <f t="shared" si="1"/>
        <v>5052.657246</v>
      </c>
      <c r="J23" s="43">
        <f t="shared" si="8"/>
        <v>216.6666667</v>
      </c>
      <c r="K23" s="43">
        <f t="shared" si="9"/>
        <v>216.6666667</v>
      </c>
      <c r="L23" s="43">
        <f t="shared" si="10"/>
        <v>46944.44444</v>
      </c>
      <c r="M23" s="43">
        <f t="shared" si="11"/>
        <v>4.281949934</v>
      </c>
      <c r="Q23" s="52" t="s">
        <v>377</v>
      </c>
      <c r="R23" s="52" t="s">
        <v>378</v>
      </c>
    </row>
    <row r="24" ht="15.75" customHeight="1">
      <c r="A24" s="52">
        <v>20.0</v>
      </c>
      <c r="B24" s="52">
        <v>4890.0</v>
      </c>
      <c r="C24" s="43">
        <f t="shared" si="6"/>
        <v>4950</v>
      </c>
      <c r="D24" s="43">
        <f t="shared" si="7"/>
        <v>4985</v>
      </c>
      <c r="E24" s="43">
        <f t="shared" si="5"/>
        <v>4887.670111</v>
      </c>
      <c r="F24" s="43">
        <f t="shared" si="2"/>
        <v>4920.954339</v>
      </c>
      <c r="G24" s="43">
        <f t="shared" si="3"/>
        <v>18.92975767</v>
      </c>
      <c r="H24" s="43">
        <f t="shared" si="4"/>
        <v>4941.590565</v>
      </c>
      <c r="I24" s="43">
        <f t="shared" si="1"/>
        <v>5087.072464</v>
      </c>
      <c r="J24" s="43">
        <f t="shared" si="8"/>
        <v>-60</v>
      </c>
      <c r="K24" s="43">
        <f t="shared" si="9"/>
        <v>60</v>
      </c>
      <c r="L24" s="43">
        <f t="shared" si="10"/>
        <v>3600</v>
      </c>
      <c r="M24" s="43">
        <f t="shared" si="11"/>
        <v>1.226993865</v>
      </c>
      <c r="Q24" s="52" t="s">
        <v>190</v>
      </c>
      <c r="R24" s="52" t="s">
        <v>391</v>
      </c>
    </row>
    <row r="25" ht="15.75" customHeight="1">
      <c r="A25" s="52">
        <v>21.0</v>
      </c>
      <c r="B25" s="52">
        <v>4810.0</v>
      </c>
      <c r="C25" s="43">
        <f t="shared" si="6"/>
        <v>4973.333333</v>
      </c>
      <c r="D25" s="43">
        <f t="shared" si="7"/>
        <v>4957</v>
      </c>
      <c r="E25" s="43">
        <f t="shared" si="5"/>
        <v>4888.369078</v>
      </c>
      <c r="F25" s="43">
        <f t="shared" si="2"/>
        <v>4887.930458</v>
      </c>
      <c r="G25" s="43">
        <f t="shared" si="3"/>
        <v>8.539029909</v>
      </c>
      <c r="H25" s="43">
        <f t="shared" si="4"/>
        <v>4939.884097</v>
      </c>
      <c r="I25" s="43">
        <f t="shared" si="1"/>
        <v>5121.487681</v>
      </c>
      <c r="J25" s="43">
        <f t="shared" si="8"/>
        <v>-163.3333333</v>
      </c>
      <c r="K25" s="43">
        <f t="shared" si="9"/>
        <v>163.3333333</v>
      </c>
      <c r="L25" s="43">
        <f t="shared" si="10"/>
        <v>26677.77778</v>
      </c>
      <c r="M25" s="43">
        <f t="shared" si="11"/>
        <v>3.395703396</v>
      </c>
    </row>
    <row r="26" ht="15.75" customHeight="1">
      <c r="A26" s="52">
        <v>22.0</v>
      </c>
      <c r="B26" s="52">
        <v>5090.0</v>
      </c>
      <c r="C26" s="43">
        <f t="shared" si="6"/>
        <v>4920</v>
      </c>
      <c r="D26" s="43">
        <f t="shared" si="7"/>
        <v>4884</v>
      </c>
      <c r="E26" s="43">
        <f t="shared" si="5"/>
        <v>4864.858355</v>
      </c>
      <c r="F26" s="43">
        <f t="shared" si="2"/>
        <v>4973.881693</v>
      </c>
      <c r="G26" s="43">
        <f t="shared" si="3"/>
        <v>24.02147086</v>
      </c>
      <c r="H26" s="43">
        <f t="shared" si="4"/>
        <v>4896.469488</v>
      </c>
      <c r="I26" s="43">
        <f t="shared" si="1"/>
        <v>5155.902899</v>
      </c>
      <c r="J26" s="43">
        <f t="shared" si="8"/>
        <v>170</v>
      </c>
      <c r="K26" s="43">
        <f t="shared" si="9"/>
        <v>170</v>
      </c>
      <c r="L26" s="43">
        <f t="shared" si="10"/>
        <v>28900</v>
      </c>
      <c r="M26" s="43">
        <f t="shared" si="11"/>
        <v>3.339882122</v>
      </c>
    </row>
    <row r="27" ht="15.75" customHeight="1">
      <c r="A27" s="52">
        <v>23.0</v>
      </c>
      <c r="B27" s="52">
        <v>5430.0</v>
      </c>
      <c r="C27" s="43">
        <f t="shared" si="6"/>
        <v>4930</v>
      </c>
      <c r="D27" s="43">
        <f t="shared" si="7"/>
        <v>4966</v>
      </c>
      <c r="E27" s="43">
        <f t="shared" si="5"/>
        <v>4932.400848</v>
      </c>
      <c r="F27" s="43">
        <f t="shared" si="2"/>
        <v>5170.741898</v>
      </c>
      <c r="G27" s="43">
        <f t="shared" si="3"/>
        <v>58.58921776</v>
      </c>
      <c r="H27" s="43">
        <f t="shared" si="4"/>
        <v>4997.903164</v>
      </c>
      <c r="I27" s="43">
        <f t="shared" si="1"/>
        <v>5190.318116</v>
      </c>
      <c r="J27" s="43">
        <f t="shared" si="8"/>
        <v>500</v>
      </c>
      <c r="K27" s="43">
        <f t="shared" si="9"/>
        <v>500</v>
      </c>
      <c r="L27" s="43">
        <f t="shared" si="10"/>
        <v>250000</v>
      </c>
      <c r="M27" s="43">
        <f t="shared" si="11"/>
        <v>9.208103131</v>
      </c>
    </row>
    <row r="28" ht="15.75" customHeight="1">
      <c r="A28" s="52">
        <v>24.0</v>
      </c>
      <c r="B28" s="52">
        <v>5720.0</v>
      </c>
      <c r="C28" s="43">
        <f t="shared" si="6"/>
        <v>5110</v>
      </c>
      <c r="D28" s="43">
        <f t="shared" si="7"/>
        <v>5204</v>
      </c>
      <c r="E28" s="43">
        <f t="shared" si="5"/>
        <v>5081.680594</v>
      </c>
      <c r="F28" s="43">
        <f t="shared" si="2"/>
        <v>5425.59867</v>
      </c>
      <c r="G28" s="43">
        <f t="shared" si="3"/>
        <v>97.84272849</v>
      </c>
      <c r="H28" s="43">
        <f t="shared" si="4"/>
        <v>5229.331116</v>
      </c>
      <c r="I28" s="43">
        <f t="shared" si="1"/>
        <v>5224.733333</v>
      </c>
      <c r="J28" s="43">
        <f t="shared" si="8"/>
        <v>610</v>
      </c>
      <c r="K28" s="43">
        <f t="shared" si="9"/>
        <v>610</v>
      </c>
      <c r="L28" s="43">
        <f t="shared" si="10"/>
        <v>372100</v>
      </c>
      <c r="M28" s="43">
        <f t="shared" si="11"/>
        <v>10.66433566</v>
      </c>
    </row>
    <row r="29" ht="15.75" customHeight="1">
      <c r="E29" s="43">
        <f t="shared" si="5"/>
        <v>5273.176416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0"/>
    <col customWidth="1" min="2" max="2" width="11.0"/>
    <col customWidth="1" min="3" max="3" width="22.0"/>
    <col customWidth="1" min="4" max="4" width="16.0"/>
    <col customWidth="1" min="5" max="5" width="22.0"/>
    <col customWidth="1" min="6" max="6" width="10.0"/>
    <col customWidth="1" min="7" max="7" width="28.0"/>
    <col customWidth="1" min="8" max="8" width="36.0"/>
    <col customWidth="1" min="9" max="9" width="34.0"/>
    <col customWidth="1" min="10" max="10" width="36.0"/>
    <col customWidth="1" min="11" max="11" width="11.0"/>
    <col customWidth="1" min="12" max="12" width="16.0"/>
    <col customWidth="1" min="13" max="13" width="14.0"/>
    <col customWidth="1" min="14" max="15" width="12.0"/>
    <col customWidth="1" min="16" max="16" width="11.0"/>
    <col customWidth="1" min="17" max="26" width="8.71"/>
  </cols>
  <sheetData>
    <row r="1">
      <c r="A1" s="1" t="s">
        <v>182</v>
      </c>
    </row>
    <row r="2">
      <c r="A2" s="14" t="s">
        <v>185</v>
      </c>
    </row>
    <row r="4" ht="31.5" customHeight="1">
      <c r="A4" s="4" t="s">
        <v>184</v>
      </c>
      <c r="B4" s="4" t="s">
        <v>3</v>
      </c>
      <c r="C4" s="4" t="s">
        <v>193</v>
      </c>
      <c r="D4" s="4" t="s">
        <v>196</v>
      </c>
      <c r="E4" s="4" t="s">
        <v>198</v>
      </c>
      <c r="F4" s="4" t="s">
        <v>9</v>
      </c>
      <c r="G4" s="4" t="s">
        <v>199</v>
      </c>
      <c r="H4" s="4" t="s">
        <v>201</v>
      </c>
      <c r="I4" s="4" t="s">
        <v>202</v>
      </c>
      <c r="J4" s="4" t="s">
        <v>203</v>
      </c>
      <c r="K4" s="4" t="s">
        <v>190</v>
      </c>
      <c r="L4" s="4" t="s">
        <v>204</v>
      </c>
      <c r="M4" s="4" t="s">
        <v>192</v>
      </c>
      <c r="N4" s="4" t="s">
        <v>195</v>
      </c>
      <c r="O4" s="4" t="s">
        <v>205</v>
      </c>
      <c r="P4" s="4" t="s">
        <v>206</v>
      </c>
    </row>
    <row r="5">
      <c r="A5" s="8" t="s">
        <v>197</v>
      </c>
      <c r="B5" s="8" t="s">
        <v>64</v>
      </c>
      <c r="C5" s="44" t="s">
        <v>207</v>
      </c>
      <c r="D5" s="8" t="s">
        <v>209</v>
      </c>
      <c r="E5" s="8" t="s">
        <v>211</v>
      </c>
      <c r="F5" s="8" t="s">
        <v>23</v>
      </c>
      <c r="G5" s="8" t="s">
        <v>212</v>
      </c>
      <c r="H5" s="8" t="s">
        <v>213</v>
      </c>
      <c r="I5" s="8" t="s">
        <v>214</v>
      </c>
      <c r="J5" s="8" t="s">
        <v>215</v>
      </c>
      <c r="K5" s="8" t="s">
        <v>216</v>
      </c>
      <c r="L5" s="47"/>
      <c r="M5" s="73" t="str">
        <f>Verificacion!H5</f>
        <v>PENDIENTE</v>
      </c>
      <c r="N5" s="47"/>
      <c r="O5" s="47"/>
      <c r="P5" s="47"/>
    </row>
    <row r="6">
      <c r="A6" s="8" t="s">
        <v>218</v>
      </c>
      <c r="B6" s="8" t="s">
        <v>66</v>
      </c>
      <c r="C6" s="44" t="s">
        <v>207</v>
      </c>
      <c r="D6" s="8" t="s">
        <v>209</v>
      </c>
      <c r="E6" s="8" t="s">
        <v>211</v>
      </c>
      <c r="F6" s="8" t="s">
        <v>23</v>
      </c>
      <c r="G6" s="8" t="s">
        <v>223</v>
      </c>
      <c r="H6" s="8" t="s">
        <v>225</v>
      </c>
      <c r="I6" s="8" t="s">
        <v>214</v>
      </c>
      <c r="J6" s="8" t="s">
        <v>226</v>
      </c>
      <c r="K6" s="8" t="s">
        <v>216</v>
      </c>
      <c r="L6" s="47"/>
      <c r="M6" s="73" t="str">
        <f>Verificacion!H6</f>
        <v>PENDIENTE</v>
      </c>
      <c r="N6" s="47"/>
      <c r="O6" s="47"/>
      <c r="P6" s="47"/>
    </row>
    <row r="7">
      <c r="A7" s="8" t="s">
        <v>220</v>
      </c>
      <c r="B7" s="8" t="s">
        <v>68</v>
      </c>
      <c r="C7" s="44" t="s">
        <v>207</v>
      </c>
      <c r="D7" s="8" t="s">
        <v>209</v>
      </c>
      <c r="E7" s="8" t="s">
        <v>211</v>
      </c>
      <c r="F7" s="8" t="s">
        <v>23</v>
      </c>
      <c r="G7" s="8" t="s">
        <v>223</v>
      </c>
      <c r="H7" s="8" t="s">
        <v>231</v>
      </c>
      <c r="I7" s="8" t="s">
        <v>232</v>
      </c>
      <c r="J7" s="8" t="s">
        <v>233</v>
      </c>
      <c r="K7" s="8" t="s">
        <v>216</v>
      </c>
      <c r="L7" s="47"/>
      <c r="M7" s="73" t="str">
        <f>Verificacion!H7</f>
        <v>PENDIENTE</v>
      </c>
      <c r="N7" s="47"/>
      <c r="O7" s="47"/>
      <c r="P7" s="47"/>
    </row>
    <row r="8">
      <c r="A8" s="8" t="s">
        <v>222</v>
      </c>
      <c r="B8" s="8" t="s">
        <v>70</v>
      </c>
      <c r="C8" s="44" t="s">
        <v>207</v>
      </c>
      <c r="D8" s="8" t="s">
        <v>209</v>
      </c>
      <c r="E8" s="8" t="s">
        <v>211</v>
      </c>
      <c r="F8" s="8" t="s">
        <v>23</v>
      </c>
      <c r="G8" s="8" t="s">
        <v>223</v>
      </c>
      <c r="H8" s="8" t="s">
        <v>238</v>
      </c>
      <c r="I8" s="8" t="s">
        <v>232</v>
      </c>
      <c r="J8" s="8" t="s">
        <v>239</v>
      </c>
      <c r="K8" s="8" t="s">
        <v>216</v>
      </c>
      <c r="L8" s="47"/>
      <c r="M8" s="73" t="str">
        <f>Verificacion!H8</f>
        <v>PENDIENTE</v>
      </c>
      <c r="N8" s="47"/>
      <c r="O8" s="47"/>
      <c r="P8" s="47"/>
    </row>
    <row r="9">
      <c r="A9" s="8" t="s">
        <v>227</v>
      </c>
      <c r="B9" s="8" t="s">
        <v>72</v>
      </c>
      <c r="C9" s="44" t="s">
        <v>207</v>
      </c>
      <c r="D9" s="8" t="s">
        <v>209</v>
      </c>
      <c r="E9" s="8" t="s">
        <v>211</v>
      </c>
      <c r="F9" s="8" t="s">
        <v>23</v>
      </c>
      <c r="G9" s="8" t="s">
        <v>223</v>
      </c>
      <c r="H9" s="8" t="s">
        <v>243</v>
      </c>
      <c r="I9" s="8" t="s">
        <v>232</v>
      </c>
      <c r="J9" s="8" t="s">
        <v>244</v>
      </c>
      <c r="K9" s="8" t="s">
        <v>216</v>
      </c>
      <c r="L9" s="47"/>
      <c r="M9" s="73" t="str">
        <f>Verificacion!H9</f>
        <v>PENDIENTE</v>
      </c>
      <c r="N9" s="47"/>
      <c r="O9" s="47"/>
      <c r="P9" s="47"/>
    </row>
    <row r="10">
      <c r="A10" s="8" t="s">
        <v>229</v>
      </c>
      <c r="B10" s="8" t="s">
        <v>64</v>
      </c>
      <c r="C10" s="44" t="s">
        <v>207</v>
      </c>
      <c r="D10" s="8" t="s">
        <v>209</v>
      </c>
      <c r="E10" s="8" t="s">
        <v>211</v>
      </c>
      <c r="F10" s="8" t="s">
        <v>23</v>
      </c>
      <c r="G10" s="8" t="s">
        <v>223</v>
      </c>
      <c r="H10" s="8" t="s">
        <v>247</v>
      </c>
      <c r="I10" s="8" t="s">
        <v>232</v>
      </c>
      <c r="J10" s="8" t="s">
        <v>248</v>
      </c>
      <c r="K10" s="8" t="s">
        <v>216</v>
      </c>
      <c r="L10" s="47"/>
      <c r="M10" s="73" t="str">
        <f>Verificacion!H10</f>
        <v>PENDIENTE</v>
      </c>
      <c r="N10" s="47"/>
      <c r="O10" s="47"/>
      <c r="P10" s="47"/>
    </row>
    <row r="11">
      <c r="A11" s="8" t="s">
        <v>234</v>
      </c>
      <c r="B11" s="8" t="s">
        <v>76</v>
      </c>
      <c r="C11" s="44" t="s">
        <v>207</v>
      </c>
      <c r="D11" s="8" t="s">
        <v>209</v>
      </c>
      <c r="E11" s="8" t="s">
        <v>211</v>
      </c>
      <c r="F11" s="8" t="s">
        <v>23</v>
      </c>
      <c r="G11" s="8" t="s">
        <v>223</v>
      </c>
      <c r="H11" s="8" t="s">
        <v>249</v>
      </c>
      <c r="I11" s="8" t="s">
        <v>250</v>
      </c>
      <c r="J11" s="8" t="s">
        <v>251</v>
      </c>
      <c r="K11" s="8" t="s">
        <v>216</v>
      </c>
      <c r="L11" s="47"/>
      <c r="M11" s="73" t="str">
        <f>Verificacion!H11</f>
        <v>PENDIENTE</v>
      </c>
      <c r="N11" s="47"/>
      <c r="O11" s="47"/>
      <c r="P11" s="47"/>
    </row>
    <row r="12">
      <c r="A12" s="8" t="s">
        <v>236</v>
      </c>
      <c r="B12" s="8" t="s">
        <v>76</v>
      </c>
      <c r="C12" s="44" t="s">
        <v>207</v>
      </c>
      <c r="D12" s="8" t="s">
        <v>209</v>
      </c>
      <c r="E12" s="8" t="s">
        <v>211</v>
      </c>
      <c r="F12" s="8" t="s">
        <v>23</v>
      </c>
      <c r="G12" s="8" t="s">
        <v>223</v>
      </c>
      <c r="H12" s="8" t="s">
        <v>249</v>
      </c>
      <c r="I12" s="8" t="s">
        <v>252</v>
      </c>
      <c r="J12" s="8" t="s">
        <v>253</v>
      </c>
      <c r="K12" s="8" t="s">
        <v>216</v>
      </c>
      <c r="L12" s="47"/>
      <c r="M12" s="73" t="str">
        <f>Verificacion!H12</f>
        <v>PENDIENTE</v>
      </c>
      <c r="N12" s="47"/>
      <c r="O12" s="47"/>
      <c r="P12" s="47"/>
    </row>
    <row r="13">
      <c r="A13" s="8" t="s">
        <v>240</v>
      </c>
      <c r="B13" s="8" t="s">
        <v>76</v>
      </c>
      <c r="C13" s="44" t="s">
        <v>207</v>
      </c>
      <c r="D13" s="8" t="s">
        <v>209</v>
      </c>
      <c r="E13" s="8" t="s">
        <v>211</v>
      </c>
      <c r="F13" s="8" t="s">
        <v>23</v>
      </c>
      <c r="G13" s="8" t="s">
        <v>223</v>
      </c>
      <c r="H13" s="8" t="s">
        <v>249</v>
      </c>
      <c r="I13" s="8" t="s">
        <v>254</v>
      </c>
      <c r="J13" s="8" t="s">
        <v>255</v>
      </c>
      <c r="K13" s="8" t="s">
        <v>256</v>
      </c>
      <c r="L13" s="47"/>
      <c r="M13" s="73" t="str">
        <f>Verificacion!H13</f>
        <v>PENDIENTE</v>
      </c>
      <c r="N13" s="47"/>
      <c r="O13" s="47"/>
      <c r="P13" s="47"/>
    </row>
    <row r="14">
      <c r="A14" s="8" t="s">
        <v>245</v>
      </c>
      <c r="B14" s="8" t="s">
        <v>76</v>
      </c>
      <c r="C14" s="44" t="s">
        <v>207</v>
      </c>
      <c r="D14" s="8" t="s">
        <v>209</v>
      </c>
      <c r="E14" s="8" t="s">
        <v>211</v>
      </c>
      <c r="F14" s="8" t="s">
        <v>23</v>
      </c>
      <c r="G14" s="8" t="s">
        <v>223</v>
      </c>
      <c r="H14" s="8" t="s">
        <v>249</v>
      </c>
      <c r="I14" s="8" t="s">
        <v>259</v>
      </c>
      <c r="J14" s="8" t="s">
        <v>260</v>
      </c>
      <c r="K14" s="8" t="s">
        <v>216</v>
      </c>
      <c r="L14" s="47"/>
      <c r="M14" s="73" t="str">
        <f>Verificacion!H14</f>
        <v>PENDIENTE</v>
      </c>
      <c r="N14" s="47"/>
      <c r="O14" s="47"/>
      <c r="P14" s="47"/>
    </row>
    <row r="15">
      <c r="A15" s="8" t="s">
        <v>261</v>
      </c>
      <c r="B15" s="8" t="s">
        <v>10</v>
      </c>
      <c r="C15" s="44" t="s">
        <v>262</v>
      </c>
      <c r="D15" s="8" t="s">
        <v>263</v>
      </c>
      <c r="E15" s="8" t="s">
        <v>264</v>
      </c>
      <c r="F15" s="8" t="s">
        <v>23</v>
      </c>
      <c r="G15" s="8" t="s">
        <v>265</v>
      </c>
      <c r="H15" s="8" t="s">
        <v>266</v>
      </c>
      <c r="I15" s="8" t="s">
        <v>267</v>
      </c>
      <c r="J15" s="8" t="s">
        <v>268</v>
      </c>
      <c r="K15" s="47"/>
      <c r="L15" s="47"/>
      <c r="M15" s="54" t="s">
        <v>269</v>
      </c>
      <c r="N15" s="47"/>
      <c r="O15" s="47"/>
      <c r="P15" s="47"/>
    </row>
    <row r="16">
      <c r="A16" s="8" t="s">
        <v>270</v>
      </c>
      <c r="B16" s="8" t="s">
        <v>25</v>
      </c>
      <c r="C16" s="44" t="s">
        <v>262</v>
      </c>
      <c r="D16" s="8" t="s">
        <v>263</v>
      </c>
      <c r="E16" s="8" t="s">
        <v>271</v>
      </c>
      <c r="F16" s="8" t="s">
        <v>23</v>
      </c>
      <c r="G16" s="8" t="s">
        <v>272</v>
      </c>
      <c r="H16" s="8" t="s">
        <v>273</v>
      </c>
      <c r="I16" s="8" t="s">
        <v>274</v>
      </c>
      <c r="J16" s="8" t="s">
        <v>275</v>
      </c>
      <c r="K16" s="47"/>
      <c r="L16" s="47"/>
      <c r="M16" s="54" t="s">
        <v>269</v>
      </c>
      <c r="N16" s="47"/>
      <c r="O16" s="47"/>
      <c r="P16" s="47"/>
    </row>
    <row r="17">
      <c r="A17" s="8" t="s">
        <v>276</v>
      </c>
      <c r="B17" s="8" t="s">
        <v>30</v>
      </c>
      <c r="C17" s="44" t="s">
        <v>262</v>
      </c>
      <c r="D17" s="8" t="s">
        <v>277</v>
      </c>
      <c r="E17" s="8" t="s">
        <v>271</v>
      </c>
      <c r="F17" s="8" t="s">
        <v>23</v>
      </c>
      <c r="G17" s="8" t="s">
        <v>278</v>
      </c>
      <c r="H17" s="8" t="s">
        <v>279</v>
      </c>
      <c r="I17" s="8" t="s">
        <v>280</v>
      </c>
      <c r="J17" s="8" t="s">
        <v>281</v>
      </c>
      <c r="K17" s="47"/>
      <c r="L17" s="47"/>
      <c r="M17" s="54" t="s">
        <v>269</v>
      </c>
      <c r="N17" s="47"/>
      <c r="O17" s="47"/>
      <c r="P17" s="47"/>
    </row>
    <row r="18">
      <c r="A18" s="8" t="s">
        <v>282</v>
      </c>
      <c r="B18" s="8" t="s">
        <v>33</v>
      </c>
      <c r="C18" s="44" t="s">
        <v>283</v>
      </c>
      <c r="D18" s="8" t="s">
        <v>263</v>
      </c>
      <c r="E18" s="8" t="s">
        <v>264</v>
      </c>
      <c r="F18" s="8" t="s">
        <v>23</v>
      </c>
      <c r="G18" s="8" t="s">
        <v>284</v>
      </c>
      <c r="H18" s="8" t="s">
        <v>285</v>
      </c>
      <c r="I18" s="8" t="s">
        <v>286</v>
      </c>
      <c r="J18" s="8" t="s">
        <v>287</v>
      </c>
      <c r="K18" s="47"/>
      <c r="L18" s="47"/>
      <c r="M18" s="54" t="s">
        <v>269</v>
      </c>
      <c r="N18" s="47"/>
      <c r="O18" s="47"/>
      <c r="P18" s="47"/>
    </row>
    <row r="19">
      <c r="A19" s="8" t="s">
        <v>288</v>
      </c>
      <c r="B19" s="8" t="s">
        <v>40</v>
      </c>
      <c r="C19" s="44" t="s">
        <v>283</v>
      </c>
      <c r="D19" s="8" t="s">
        <v>289</v>
      </c>
      <c r="E19" s="8" t="s">
        <v>290</v>
      </c>
      <c r="F19" s="8" t="s">
        <v>23</v>
      </c>
      <c r="G19" s="8" t="s">
        <v>291</v>
      </c>
      <c r="H19" s="8" t="s">
        <v>292</v>
      </c>
      <c r="I19" s="8" t="s">
        <v>293</v>
      </c>
      <c r="J19" s="8" t="s">
        <v>294</v>
      </c>
      <c r="K19" s="47"/>
      <c r="L19" s="47"/>
      <c r="M19" s="54" t="s">
        <v>269</v>
      </c>
      <c r="N19" s="47"/>
      <c r="O19" s="47"/>
      <c r="P19" s="47"/>
    </row>
    <row r="20">
      <c r="A20" s="8" t="s">
        <v>295</v>
      </c>
      <c r="B20" s="8" t="s">
        <v>46</v>
      </c>
      <c r="C20" s="44" t="s">
        <v>283</v>
      </c>
      <c r="D20" s="8" t="s">
        <v>289</v>
      </c>
      <c r="E20" s="8" t="s">
        <v>264</v>
      </c>
      <c r="F20" s="8" t="s">
        <v>23</v>
      </c>
      <c r="G20" s="8" t="s">
        <v>291</v>
      </c>
      <c r="H20" s="8" t="s">
        <v>296</v>
      </c>
      <c r="I20" s="8" t="s">
        <v>297</v>
      </c>
      <c r="J20" s="8" t="s">
        <v>298</v>
      </c>
      <c r="K20" s="47"/>
      <c r="L20" s="47"/>
      <c r="M20" s="54" t="s">
        <v>269</v>
      </c>
      <c r="N20" s="47"/>
      <c r="O20" s="47"/>
      <c r="P20" s="47"/>
    </row>
    <row r="21" ht="15.75" customHeight="1">
      <c r="A21" s="8" t="s">
        <v>299</v>
      </c>
      <c r="B21" s="8" t="s">
        <v>52</v>
      </c>
      <c r="C21" s="44" t="s">
        <v>283</v>
      </c>
      <c r="D21" s="8" t="s">
        <v>289</v>
      </c>
      <c r="E21" s="8" t="s">
        <v>290</v>
      </c>
      <c r="F21" s="8" t="s">
        <v>56</v>
      </c>
      <c r="G21" s="8" t="s">
        <v>300</v>
      </c>
      <c r="H21" s="8" t="s">
        <v>301</v>
      </c>
      <c r="I21" s="8" t="s">
        <v>302</v>
      </c>
      <c r="J21" s="8" t="s">
        <v>303</v>
      </c>
      <c r="K21" s="47"/>
      <c r="L21" s="47"/>
      <c r="M21" s="54" t="s">
        <v>269</v>
      </c>
      <c r="N21" s="47"/>
      <c r="O21" s="47"/>
      <c r="P21" s="47"/>
    </row>
    <row r="22" ht="15.75" customHeight="1">
      <c r="A22" s="8" t="s">
        <v>304</v>
      </c>
      <c r="B22" s="8" t="s">
        <v>57</v>
      </c>
      <c r="C22" s="44" t="s">
        <v>283</v>
      </c>
      <c r="D22" s="8" t="s">
        <v>263</v>
      </c>
      <c r="E22" s="8" t="s">
        <v>264</v>
      </c>
      <c r="F22" s="8" t="s">
        <v>56</v>
      </c>
      <c r="G22" s="8" t="s">
        <v>305</v>
      </c>
      <c r="H22" s="8" t="s">
        <v>306</v>
      </c>
      <c r="I22" s="8" t="s">
        <v>307</v>
      </c>
      <c r="J22" s="8" t="s">
        <v>308</v>
      </c>
      <c r="K22" s="47"/>
      <c r="L22" s="47"/>
      <c r="M22" s="54" t="s">
        <v>269</v>
      </c>
      <c r="N22" s="47"/>
      <c r="O22" s="47"/>
      <c r="P22" s="47"/>
    </row>
    <row r="23" ht="15.75" customHeight="1">
      <c r="A23" s="8" t="s">
        <v>309</v>
      </c>
      <c r="B23" s="8" t="s">
        <v>59</v>
      </c>
      <c r="C23" s="44" t="s">
        <v>283</v>
      </c>
      <c r="D23" s="8" t="s">
        <v>263</v>
      </c>
      <c r="E23" s="8" t="s">
        <v>264</v>
      </c>
      <c r="F23" s="8" t="s">
        <v>23</v>
      </c>
      <c r="G23" s="8" t="s">
        <v>310</v>
      </c>
      <c r="H23" s="8" t="s">
        <v>311</v>
      </c>
      <c r="I23" s="8" t="s">
        <v>312</v>
      </c>
      <c r="J23" s="8" t="s">
        <v>313</v>
      </c>
      <c r="K23" s="47"/>
      <c r="L23" s="47"/>
      <c r="M23" s="54" t="s">
        <v>269</v>
      </c>
      <c r="N23" s="47"/>
      <c r="O23" s="47"/>
      <c r="P23" s="47"/>
    </row>
    <row r="24" ht="15.75" customHeight="1">
      <c r="A24" s="8" t="s">
        <v>314</v>
      </c>
      <c r="B24" s="8" t="s">
        <v>61</v>
      </c>
      <c r="C24" s="44" t="s">
        <v>207</v>
      </c>
      <c r="D24" s="8" t="s">
        <v>209</v>
      </c>
      <c r="E24" s="8" t="s">
        <v>290</v>
      </c>
      <c r="F24" s="8" t="s">
        <v>23</v>
      </c>
      <c r="G24" s="8" t="s">
        <v>315</v>
      </c>
      <c r="H24" s="8" t="s">
        <v>316</v>
      </c>
      <c r="I24" s="8" t="s">
        <v>317</v>
      </c>
      <c r="J24" s="8" t="s">
        <v>318</v>
      </c>
      <c r="K24" s="47"/>
      <c r="L24" s="47"/>
      <c r="M24" s="54" t="s">
        <v>269</v>
      </c>
      <c r="N24" s="47"/>
      <c r="O24" s="47"/>
      <c r="P24" s="47"/>
    </row>
    <row r="25" ht="15.75" customHeight="1">
      <c r="A25" s="8" t="s">
        <v>319</v>
      </c>
      <c r="B25" s="8" t="s">
        <v>74</v>
      </c>
      <c r="C25" s="44" t="s">
        <v>207</v>
      </c>
      <c r="D25" s="8" t="s">
        <v>209</v>
      </c>
      <c r="E25" s="8" t="s">
        <v>320</v>
      </c>
      <c r="F25" s="8" t="s">
        <v>23</v>
      </c>
      <c r="G25" s="8" t="s">
        <v>212</v>
      </c>
      <c r="H25" s="8" t="s">
        <v>321</v>
      </c>
      <c r="I25" s="8" t="s">
        <v>322</v>
      </c>
      <c r="J25" s="8" t="s">
        <v>323</v>
      </c>
      <c r="K25" s="8" t="s">
        <v>324</v>
      </c>
      <c r="L25" s="47"/>
      <c r="M25" s="54" t="s">
        <v>269</v>
      </c>
      <c r="N25" s="47"/>
      <c r="O25" s="47"/>
      <c r="P25" s="47"/>
    </row>
    <row r="26" ht="15.75" customHeight="1">
      <c r="A26" s="8" t="s">
        <v>325</v>
      </c>
      <c r="B26" s="8" t="s">
        <v>79</v>
      </c>
      <c r="C26" s="44" t="s">
        <v>207</v>
      </c>
      <c r="D26" s="8" t="s">
        <v>263</v>
      </c>
      <c r="E26" s="8" t="s">
        <v>320</v>
      </c>
      <c r="F26" s="8" t="s">
        <v>23</v>
      </c>
      <c r="G26" s="8" t="s">
        <v>326</v>
      </c>
      <c r="H26" s="8" t="s">
        <v>327</v>
      </c>
      <c r="I26" s="8" t="s">
        <v>328</v>
      </c>
      <c r="J26" s="8" t="s">
        <v>329</v>
      </c>
      <c r="K26" s="47"/>
      <c r="L26" s="47"/>
      <c r="M26" s="54" t="s">
        <v>269</v>
      </c>
      <c r="N26" s="47"/>
      <c r="O26" s="47"/>
      <c r="P26" s="47"/>
    </row>
    <row r="27" ht="15.75" customHeight="1">
      <c r="A27" s="8" t="s">
        <v>330</v>
      </c>
      <c r="B27" s="8" t="s">
        <v>81</v>
      </c>
      <c r="C27" s="44" t="s">
        <v>207</v>
      </c>
      <c r="D27" s="8" t="s">
        <v>289</v>
      </c>
      <c r="E27" s="8" t="s">
        <v>331</v>
      </c>
      <c r="F27" s="8" t="s">
        <v>56</v>
      </c>
      <c r="G27" s="8" t="s">
        <v>315</v>
      </c>
      <c r="H27" s="8" t="s">
        <v>332</v>
      </c>
      <c r="I27" s="8" t="s">
        <v>333</v>
      </c>
      <c r="J27" s="8" t="s">
        <v>334</v>
      </c>
      <c r="K27" s="47"/>
      <c r="L27" s="47"/>
      <c r="M27" s="54" t="s">
        <v>269</v>
      </c>
      <c r="N27" s="47"/>
      <c r="O27" s="47"/>
      <c r="P27" s="47"/>
    </row>
    <row r="28" ht="15.75" customHeight="1">
      <c r="A28" s="8" t="s">
        <v>335</v>
      </c>
      <c r="B28" s="8" t="s">
        <v>83</v>
      </c>
      <c r="C28" s="44" t="s">
        <v>336</v>
      </c>
      <c r="D28" s="8" t="s">
        <v>263</v>
      </c>
      <c r="E28" s="8" t="s">
        <v>320</v>
      </c>
      <c r="F28" s="8" t="s">
        <v>23</v>
      </c>
      <c r="G28" s="8" t="s">
        <v>337</v>
      </c>
      <c r="H28" s="8" t="s">
        <v>338</v>
      </c>
      <c r="I28" s="8" t="s">
        <v>339</v>
      </c>
      <c r="J28" s="8" t="s">
        <v>340</v>
      </c>
      <c r="K28" s="47"/>
      <c r="L28" s="47"/>
      <c r="M28" s="54" t="s">
        <v>269</v>
      </c>
      <c r="N28" s="47"/>
      <c r="O28" s="47"/>
      <c r="P28" s="47"/>
    </row>
    <row r="29" ht="15.75" customHeight="1">
      <c r="A29" s="8" t="s">
        <v>341</v>
      </c>
      <c r="B29" s="8" t="s">
        <v>87</v>
      </c>
      <c r="C29" s="44" t="s">
        <v>336</v>
      </c>
      <c r="D29" s="8" t="s">
        <v>263</v>
      </c>
      <c r="E29" s="8" t="s">
        <v>320</v>
      </c>
      <c r="F29" s="8" t="s">
        <v>23</v>
      </c>
      <c r="G29" s="8" t="s">
        <v>337</v>
      </c>
      <c r="H29" s="8" t="s">
        <v>342</v>
      </c>
      <c r="I29" s="8" t="s">
        <v>343</v>
      </c>
      <c r="J29" s="8" t="s">
        <v>344</v>
      </c>
      <c r="K29" s="47"/>
      <c r="L29" s="47"/>
      <c r="M29" s="54" t="s">
        <v>269</v>
      </c>
      <c r="N29" s="47"/>
      <c r="O29" s="47"/>
      <c r="P29" s="47"/>
    </row>
    <row r="30" ht="15.75" customHeight="1">
      <c r="A30" s="8" t="s">
        <v>345</v>
      </c>
      <c r="B30" s="8" t="s">
        <v>89</v>
      </c>
      <c r="C30" s="44" t="s">
        <v>336</v>
      </c>
      <c r="D30" s="8" t="s">
        <v>263</v>
      </c>
      <c r="E30" s="8" t="s">
        <v>290</v>
      </c>
      <c r="F30" s="8" t="s">
        <v>56</v>
      </c>
      <c r="G30" s="8" t="s">
        <v>346</v>
      </c>
      <c r="H30" s="8" t="s">
        <v>347</v>
      </c>
      <c r="I30" s="8" t="s">
        <v>348</v>
      </c>
      <c r="J30" s="8" t="s">
        <v>349</v>
      </c>
      <c r="K30" s="47"/>
      <c r="L30" s="47"/>
      <c r="M30" s="54" t="s">
        <v>269</v>
      </c>
      <c r="N30" s="47"/>
      <c r="O30" s="47"/>
      <c r="P30" s="47"/>
    </row>
    <row r="31" ht="15.75" customHeight="1">
      <c r="A31" s="8" t="s">
        <v>350</v>
      </c>
      <c r="B31" s="8" t="s">
        <v>91</v>
      </c>
      <c r="C31" s="44" t="s">
        <v>336</v>
      </c>
      <c r="D31" s="8" t="s">
        <v>209</v>
      </c>
      <c r="E31" s="8" t="s">
        <v>290</v>
      </c>
      <c r="F31" s="8" t="s">
        <v>56</v>
      </c>
      <c r="G31" s="8" t="s">
        <v>315</v>
      </c>
      <c r="H31" s="8" t="s">
        <v>351</v>
      </c>
      <c r="I31" s="8" t="s">
        <v>352</v>
      </c>
      <c r="J31" s="8" t="s">
        <v>353</v>
      </c>
      <c r="K31" s="47"/>
      <c r="L31" s="47"/>
      <c r="M31" s="54" t="s">
        <v>269</v>
      </c>
      <c r="N31" s="47"/>
      <c r="O31" s="47"/>
      <c r="P31" s="47"/>
    </row>
    <row r="32" ht="15.75" customHeight="1">
      <c r="A32" s="8" t="s">
        <v>354</v>
      </c>
      <c r="B32" s="8" t="s">
        <v>93</v>
      </c>
      <c r="C32" s="44" t="s">
        <v>336</v>
      </c>
      <c r="D32" s="8" t="s">
        <v>263</v>
      </c>
      <c r="E32" s="8" t="s">
        <v>264</v>
      </c>
      <c r="F32" s="8" t="s">
        <v>56</v>
      </c>
      <c r="G32" s="8" t="s">
        <v>355</v>
      </c>
      <c r="H32" s="8" t="s">
        <v>356</v>
      </c>
      <c r="I32" s="8" t="s">
        <v>357</v>
      </c>
      <c r="J32" s="8" t="s">
        <v>358</v>
      </c>
      <c r="K32" s="47"/>
      <c r="L32" s="47"/>
      <c r="M32" s="54" t="s">
        <v>269</v>
      </c>
      <c r="N32" s="47"/>
      <c r="O32" s="47"/>
      <c r="P32" s="47"/>
    </row>
    <row r="33" ht="15.75" customHeight="1">
      <c r="A33" s="8" t="s">
        <v>359</v>
      </c>
      <c r="B33" s="8" t="s">
        <v>95</v>
      </c>
      <c r="C33" s="44" t="s">
        <v>262</v>
      </c>
      <c r="D33" s="8" t="s">
        <v>289</v>
      </c>
      <c r="E33" s="8" t="s">
        <v>331</v>
      </c>
      <c r="F33" s="8" t="s">
        <v>56</v>
      </c>
      <c r="G33" s="8" t="s">
        <v>272</v>
      </c>
      <c r="H33" s="8" t="s">
        <v>360</v>
      </c>
      <c r="I33" s="8" t="s">
        <v>361</v>
      </c>
      <c r="J33" s="8" t="s">
        <v>362</v>
      </c>
      <c r="K33" s="47"/>
      <c r="L33" s="47"/>
      <c r="M33" s="54" t="s">
        <v>269</v>
      </c>
      <c r="N33" s="47"/>
      <c r="O33" s="47"/>
      <c r="P33" s="47"/>
    </row>
    <row r="34" ht="15.75" customHeight="1">
      <c r="A34" s="8" t="s">
        <v>363</v>
      </c>
      <c r="B34" s="8" t="s">
        <v>98</v>
      </c>
      <c r="C34" s="44" t="s">
        <v>207</v>
      </c>
      <c r="D34" s="8" t="s">
        <v>364</v>
      </c>
      <c r="E34" s="8" t="s">
        <v>320</v>
      </c>
      <c r="F34" s="8" t="s">
        <v>23</v>
      </c>
      <c r="G34" s="8" t="s">
        <v>365</v>
      </c>
      <c r="H34" s="8" t="s">
        <v>366</v>
      </c>
      <c r="I34" s="8" t="s">
        <v>367</v>
      </c>
      <c r="J34" s="8" t="s">
        <v>368</v>
      </c>
      <c r="K34" s="47"/>
      <c r="L34" s="47"/>
      <c r="M34" s="54" t="s">
        <v>269</v>
      </c>
      <c r="N34" s="47"/>
      <c r="O34" s="47"/>
      <c r="P34" s="47"/>
    </row>
    <row r="35" ht="15.75" customHeight="1">
      <c r="A35" s="8" t="s">
        <v>369</v>
      </c>
      <c r="B35" s="8" t="s">
        <v>111</v>
      </c>
      <c r="C35" s="44" t="s">
        <v>262</v>
      </c>
      <c r="D35" s="8" t="s">
        <v>277</v>
      </c>
      <c r="E35" s="8" t="s">
        <v>271</v>
      </c>
      <c r="F35" s="8" t="s">
        <v>23</v>
      </c>
      <c r="G35" s="8" t="s">
        <v>370</v>
      </c>
      <c r="H35" s="8" t="s">
        <v>371</v>
      </c>
      <c r="I35" s="8" t="s">
        <v>372</v>
      </c>
      <c r="J35" s="8" t="s">
        <v>373</v>
      </c>
      <c r="K35" s="47"/>
      <c r="L35" s="47"/>
      <c r="M35" s="54" t="s">
        <v>269</v>
      </c>
      <c r="N35" s="47"/>
      <c r="O35" s="47"/>
      <c r="P35" s="47"/>
    </row>
    <row r="36" ht="15.75" customHeight="1">
      <c r="A36" s="8" t="s">
        <v>376</v>
      </c>
      <c r="B36" s="8" t="s">
        <v>125</v>
      </c>
      <c r="C36" s="44" t="s">
        <v>207</v>
      </c>
      <c r="D36" s="8" t="s">
        <v>209</v>
      </c>
      <c r="E36" s="8" t="s">
        <v>320</v>
      </c>
      <c r="F36" s="8" t="s">
        <v>23</v>
      </c>
      <c r="G36" s="8" t="s">
        <v>212</v>
      </c>
      <c r="H36" s="8" t="s">
        <v>379</v>
      </c>
      <c r="I36" s="8" t="s">
        <v>381</v>
      </c>
      <c r="J36" s="8" t="s">
        <v>383</v>
      </c>
      <c r="K36" s="8" t="s">
        <v>384</v>
      </c>
      <c r="L36" s="47"/>
      <c r="M36" s="54" t="s">
        <v>269</v>
      </c>
      <c r="N36" s="47"/>
      <c r="O36" s="47"/>
      <c r="P36" s="47"/>
    </row>
    <row r="37" ht="15.75" customHeight="1">
      <c r="A37" s="8" t="s">
        <v>389</v>
      </c>
      <c r="B37" s="8" t="s">
        <v>130</v>
      </c>
      <c r="C37" s="44" t="s">
        <v>283</v>
      </c>
      <c r="D37" s="8" t="s">
        <v>289</v>
      </c>
      <c r="E37" s="8" t="s">
        <v>331</v>
      </c>
      <c r="F37" s="8" t="s">
        <v>23</v>
      </c>
      <c r="G37" s="8" t="s">
        <v>300</v>
      </c>
      <c r="H37" s="8" t="s">
        <v>390</v>
      </c>
      <c r="I37" s="8" t="s">
        <v>392</v>
      </c>
      <c r="J37" s="8" t="s">
        <v>393</v>
      </c>
      <c r="K37" s="47"/>
      <c r="L37" s="47"/>
      <c r="M37" s="54" t="s">
        <v>269</v>
      </c>
      <c r="N37" s="47"/>
      <c r="O37" s="47"/>
      <c r="P37" s="47"/>
    </row>
    <row r="38" ht="15.75" customHeight="1">
      <c r="A38" s="8" t="s">
        <v>394</v>
      </c>
      <c r="B38" s="8" t="s">
        <v>134</v>
      </c>
      <c r="C38" s="44" t="s">
        <v>395</v>
      </c>
      <c r="D38" s="8" t="s">
        <v>396</v>
      </c>
      <c r="E38" s="8" t="s">
        <v>397</v>
      </c>
      <c r="F38" s="8" t="s">
        <v>56</v>
      </c>
      <c r="G38" s="8" t="s">
        <v>398</v>
      </c>
      <c r="H38" s="8" t="s">
        <v>399</v>
      </c>
      <c r="I38" s="8" t="s">
        <v>400</v>
      </c>
      <c r="J38" s="8" t="s">
        <v>401</v>
      </c>
      <c r="K38" s="47"/>
      <c r="L38" s="47"/>
      <c r="M38" s="54" t="s">
        <v>269</v>
      </c>
      <c r="N38" s="47"/>
      <c r="O38" s="47"/>
      <c r="P38" s="47"/>
    </row>
    <row r="39" ht="15.75" customHeight="1">
      <c r="A39" s="8" t="s">
        <v>402</v>
      </c>
      <c r="B39" s="8" t="s">
        <v>139</v>
      </c>
      <c r="C39" s="44" t="s">
        <v>395</v>
      </c>
      <c r="D39" s="8" t="s">
        <v>263</v>
      </c>
      <c r="E39" s="8" t="s">
        <v>290</v>
      </c>
      <c r="F39" s="8" t="s">
        <v>56</v>
      </c>
      <c r="G39" s="8" t="s">
        <v>403</v>
      </c>
      <c r="H39" s="8" t="s">
        <v>404</v>
      </c>
      <c r="I39" s="8" t="s">
        <v>405</v>
      </c>
      <c r="J39" s="8" t="s">
        <v>406</v>
      </c>
      <c r="K39" s="47"/>
      <c r="L39" s="47"/>
      <c r="M39" s="54" t="s">
        <v>269</v>
      </c>
      <c r="N39" s="47"/>
      <c r="O39" s="47"/>
      <c r="P39" s="47"/>
    </row>
    <row r="40" ht="15.75" customHeight="1">
      <c r="A40" s="8" t="s">
        <v>407</v>
      </c>
      <c r="B40" s="8" t="s">
        <v>102</v>
      </c>
      <c r="C40" s="62" t="str">
        <f t="array" ref="C40">IF(B40="","",IFERROR(INDEX(Requisitos!$C$5:$C$60,MATCH(B40,Requisitos!$A$5:$A$60,0)),"¿Requisito no existe?"))</f>
        <v>Indicadores y reportes</v>
      </c>
      <c r="D40" s="8" t="s">
        <v>263</v>
      </c>
      <c r="E40" s="8" t="s">
        <v>364</v>
      </c>
      <c r="F40" s="8" t="s">
        <v>56</v>
      </c>
      <c r="G40" s="8" t="s">
        <v>408</v>
      </c>
      <c r="H40" s="8" t="s">
        <v>409</v>
      </c>
      <c r="I40" s="8" t="s">
        <v>410</v>
      </c>
      <c r="J40" s="8" t="s">
        <v>411</v>
      </c>
      <c r="K40" s="8" t="s">
        <v>412</v>
      </c>
      <c r="L40" s="47"/>
      <c r="M40" s="54" t="s">
        <v>269</v>
      </c>
      <c r="N40" s="47"/>
      <c r="O40" s="47"/>
      <c r="P40" s="47"/>
    </row>
    <row r="41" ht="15.75" customHeight="1">
      <c r="A41" s="8" t="s">
        <v>413</v>
      </c>
      <c r="B41" s="8" t="s">
        <v>104</v>
      </c>
      <c r="C41" s="62" t="str">
        <f t="array" ref="C41">IF(B41="","",IFERROR(INDEX(Requisitos!$C$5:$C$60,MATCH(B41,Requisitos!$A$5:$A$60,0)),"¿Requisito no existe?"))</f>
        <v>Transversal</v>
      </c>
      <c r="D41" s="8" t="s">
        <v>263</v>
      </c>
      <c r="E41" s="8" t="s">
        <v>320</v>
      </c>
      <c r="F41" s="8" t="s">
        <v>56</v>
      </c>
      <c r="G41" s="8" t="s">
        <v>414</v>
      </c>
      <c r="H41" s="8" t="s">
        <v>415</v>
      </c>
      <c r="I41" s="8" t="s">
        <v>416</v>
      </c>
      <c r="J41" s="8" t="s">
        <v>417</v>
      </c>
      <c r="K41" s="8" t="s">
        <v>412</v>
      </c>
      <c r="L41" s="47"/>
      <c r="M41" s="54" t="s">
        <v>269</v>
      </c>
      <c r="N41" s="47"/>
      <c r="O41" s="47"/>
      <c r="P41" s="47"/>
    </row>
    <row r="42" ht="15.75" customHeight="1">
      <c r="A42" s="8" t="s">
        <v>418</v>
      </c>
      <c r="B42" s="8" t="s">
        <v>109</v>
      </c>
      <c r="C42" s="62" t="str">
        <f t="array" ref="C42">IF(B42="","",IFERROR(INDEX(Requisitos!$C$5:$C$60,MATCH(B42,Requisitos!$A$5:$A$60,0)),"¿Requisito no existe?"))</f>
        <v>Autenticación y roles</v>
      </c>
      <c r="D42" s="8" t="s">
        <v>277</v>
      </c>
      <c r="E42" s="8" t="s">
        <v>419</v>
      </c>
      <c r="F42" s="8" t="s">
        <v>23</v>
      </c>
      <c r="G42" s="8" t="s">
        <v>420</v>
      </c>
      <c r="H42" s="8" t="s">
        <v>421</v>
      </c>
      <c r="I42" s="8" t="s">
        <v>422</v>
      </c>
      <c r="J42" s="8" t="s">
        <v>423</v>
      </c>
      <c r="K42" s="8" t="s">
        <v>412</v>
      </c>
      <c r="L42" s="47"/>
      <c r="M42" s="54" t="s">
        <v>269</v>
      </c>
      <c r="N42" s="47"/>
      <c r="O42" s="47"/>
      <c r="P42" s="47"/>
    </row>
    <row r="43" ht="15.75" customHeight="1">
      <c r="A43" s="8" t="s">
        <v>424</v>
      </c>
      <c r="B43" s="8" t="s">
        <v>115</v>
      </c>
      <c r="C43" s="62" t="str">
        <f t="array" ref="C43">IF(B43="","",IFERROR(INDEX(Requisitos!$C$5:$C$60,MATCH(B43,Requisitos!$A$5:$A$60,0)),"¿Requisito no existe?"))</f>
        <v>Transversal</v>
      </c>
      <c r="D43" s="8" t="s">
        <v>277</v>
      </c>
      <c r="E43" s="8" t="s">
        <v>320</v>
      </c>
      <c r="F43" s="8" t="s">
        <v>23</v>
      </c>
      <c r="G43" s="8" t="s">
        <v>425</v>
      </c>
      <c r="H43" s="8" t="s">
        <v>426</v>
      </c>
      <c r="I43" s="8" t="s">
        <v>427</v>
      </c>
      <c r="J43" s="8" t="s">
        <v>428</v>
      </c>
      <c r="K43" s="8" t="s">
        <v>412</v>
      </c>
      <c r="L43" s="47"/>
      <c r="M43" s="54" t="s">
        <v>269</v>
      </c>
      <c r="N43" s="47"/>
      <c r="O43" s="47"/>
      <c r="P43" s="47"/>
    </row>
    <row r="44" ht="15.75" customHeight="1">
      <c r="A44" s="8" t="s">
        <v>429</v>
      </c>
      <c r="B44" s="8" t="s">
        <v>120</v>
      </c>
      <c r="C44" s="62" t="str">
        <f t="array" ref="C44">IF(B44="","",IFERROR(INDEX(Requisitos!$C$5:$C$60,MATCH(B44,Requisitos!$A$5:$A$60,0)),"¿Requisito no existe?"))</f>
        <v>Transversal</v>
      </c>
      <c r="D44" s="8" t="s">
        <v>263</v>
      </c>
      <c r="E44" s="8" t="s">
        <v>320</v>
      </c>
      <c r="F44" s="8" t="s">
        <v>56</v>
      </c>
      <c r="G44" s="8" t="s">
        <v>430</v>
      </c>
      <c r="H44" s="8" t="s">
        <v>431</v>
      </c>
      <c r="I44" s="8" t="s">
        <v>432</v>
      </c>
      <c r="J44" s="8" t="s">
        <v>433</v>
      </c>
      <c r="K44" s="8" t="s">
        <v>412</v>
      </c>
      <c r="L44" s="47"/>
      <c r="M44" s="54" t="s">
        <v>269</v>
      </c>
      <c r="N44" s="47"/>
      <c r="O44" s="47"/>
      <c r="P44" s="47"/>
    </row>
    <row r="45" ht="15.75" customHeight="1">
      <c r="A45" s="8" t="s">
        <v>434</v>
      </c>
      <c r="B45" s="8" t="s">
        <v>141</v>
      </c>
      <c r="C45" s="62" t="str">
        <f t="array" ref="C45">IF(B45="","",IFERROR(INDEX(Requisitos!$C$5:$C$60,MATCH(B45,Requisitos!$A$5:$A$60,0)),"¿Requisito no existe?"))</f>
        <v>Pronóstico</v>
      </c>
      <c r="D45" s="8" t="s">
        <v>209</v>
      </c>
      <c r="E45" s="8" t="s">
        <v>419</v>
      </c>
      <c r="F45" s="8" t="s">
        <v>56</v>
      </c>
      <c r="G45" s="8" t="s">
        <v>435</v>
      </c>
      <c r="H45" s="8" t="s">
        <v>436</v>
      </c>
      <c r="I45" s="8" t="s">
        <v>437</v>
      </c>
      <c r="J45" s="8" t="s">
        <v>438</v>
      </c>
      <c r="K45" s="8" t="s">
        <v>412</v>
      </c>
      <c r="L45" s="47"/>
      <c r="M45" s="54" t="s">
        <v>269</v>
      </c>
      <c r="N45" s="47"/>
      <c r="O45" s="47"/>
      <c r="P45" s="47"/>
    </row>
    <row r="46" ht="15.75" customHeight="1">
      <c r="A46" s="8" t="s">
        <v>439</v>
      </c>
      <c r="B46" s="8" t="s">
        <v>143</v>
      </c>
      <c r="C46" s="62" t="str">
        <f t="array" ref="C46">IF(B46="","",IFERROR(INDEX(Requisitos!$C$5:$C$60,MATCH(B46,Requisitos!$A$5:$A$60,0)),"¿Requisito no existe?"))</f>
        <v>Pronóstico</v>
      </c>
      <c r="D46" s="8" t="s">
        <v>209</v>
      </c>
      <c r="E46" s="8" t="s">
        <v>419</v>
      </c>
      <c r="F46" s="8" t="s">
        <v>23</v>
      </c>
      <c r="G46" s="8" t="s">
        <v>440</v>
      </c>
      <c r="H46" s="8" t="s">
        <v>441</v>
      </c>
      <c r="I46" s="8" t="s">
        <v>442</v>
      </c>
      <c r="J46" s="8" t="s">
        <v>443</v>
      </c>
      <c r="K46" s="8" t="s">
        <v>412</v>
      </c>
      <c r="L46" s="47"/>
      <c r="M46" s="54" t="s">
        <v>269</v>
      </c>
      <c r="N46" s="47"/>
      <c r="O46" s="47"/>
      <c r="P46" s="47"/>
    </row>
    <row r="47" ht="15.75" customHeight="1">
      <c r="A47" s="8" t="s">
        <v>444</v>
      </c>
      <c r="B47" s="8" t="s">
        <v>145</v>
      </c>
      <c r="C47" s="62" t="str">
        <f t="array" ref="C47">IF(B47="","",IFERROR(INDEX(Requisitos!$C$5:$C$60,MATCH(B47,Requisitos!$A$5:$A$60,0)),"¿Requisito no existe?"))</f>
        <v>Transversal</v>
      </c>
      <c r="D47" s="8" t="s">
        <v>289</v>
      </c>
      <c r="E47" s="8" t="s">
        <v>264</v>
      </c>
      <c r="F47" s="8" t="s">
        <v>56</v>
      </c>
      <c r="G47" s="8" t="s">
        <v>445</v>
      </c>
      <c r="H47" s="8" t="s">
        <v>446</v>
      </c>
      <c r="I47" s="8" t="s">
        <v>447</v>
      </c>
      <c r="J47" s="8" t="s">
        <v>448</v>
      </c>
      <c r="K47" s="8" t="s">
        <v>412</v>
      </c>
      <c r="L47" s="47"/>
      <c r="M47" s="54" t="s">
        <v>269</v>
      </c>
      <c r="N47" s="47"/>
      <c r="O47" s="47"/>
      <c r="P47" s="47"/>
    </row>
    <row r="48" ht="15.75" customHeight="1">
      <c r="A48" s="8" t="s">
        <v>449</v>
      </c>
      <c r="B48" s="8" t="s">
        <v>148</v>
      </c>
      <c r="C48" s="62" t="str">
        <f t="array" ref="C48">IF(B48="","",IFERROR(INDEX(Requisitos!$C$5:$C$60,MATCH(B48,Requisitos!$A$5:$A$60,0)),"¿Requisito no existe?"))</f>
        <v>Transversal</v>
      </c>
      <c r="D48" s="8" t="s">
        <v>263</v>
      </c>
      <c r="E48" s="8" t="s">
        <v>320</v>
      </c>
      <c r="F48" s="8" t="s">
        <v>56</v>
      </c>
      <c r="G48" s="8" t="s">
        <v>450</v>
      </c>
      <c r="H48" s="8" t="s">
        <v>451</v>
      </c>
      <c r="I48" s="8" t="s">
        <v>452</v>
      </c>
      <c r="J48" s="8" t="s">
        <v>453</v>
      </c>
      <c r="K48" s="8" t="s">
        <v>412</v>
      </c>
      <c r="L48" s="47"/>
      <c r="M48" s="54" t="s">
        <v>269</v>
      </c>
      <c r="N48" s="47"/>
      <c r="O48" s="47"/>
      <c r="P48" s="47"/>
    </row>
    <row r="49" ht="15.75" customHeight="1">
      <c r="A49" s="8" t="s">
        <v>454</v>
      </c>
      <c r="B49" s="8" t="s">
        <v>150</v>
      </c>
      <c r="C49" s="62" t="str">
        <f t="array" ref="C49">IF(B49="","",IFERROR(INDEX(Requisitos!$C$5:$C$60,MATCH(B49,Requisitos!$A$5:$A$60,0)),"¿Requisito no existe?"))</f>
        <v>Transversal</v>
      </c>
      <c r="D49" s="8" t="s">
        <v>263</v>
      </c>
      <c r="E49" s="8" t="s">
        <v>320</v>
      </c>
      <c r="F49" s="8" t="s">
        <v>97</v>
      </c>
      <c r="G49" s="8" t="s">
        <v>455</v>
      </c>
      <c r="H49" s="8" t="s">
        <v>456</v>
      </c>
      <c r="I49" s="8" t="s">
        <v>457</v>
      </c>
      <c r="J49" s="8" t="s">
        <v>458</v>
      </c>
      <c r="K49" s="8" t="s">
        <v>412</v>
      </c>
      <c r="L49" s="47"/>
      <c r="M49" s="54" t="s">
        <v>269</v>
      </c>
      <c r="N49" s="47"/>
      <c r="O49" s="47"/>
      <c r="P49" s="47"/>
    </row>
    <row r="50" ht="15.75" customHeight="1">
      <c r="A50" s="47"/>
      <c r="B50" s="47"/>
      <c r="C50" s="62" t="str">
        <f t="array" ref="C50">IF(B50="","",IFERROR(INDEX(Requisitos!$C$5:$C$60,MATCH(B50,Requisitos!$A$5:$A$60,0)),"¿Requisito no existe?"))</f>
        <v/>
      </c>
      <c r="D50" s="47"/>
      <c r="E50" s="47"/>
      <c r="F50" s="47"/>
      <c r="G50" s="47"/>
      <c r="H50" s="47"/>
      <c r="I50" s="47"/>
      <c r="J50" s="47"/>
      <c r="K50" s="47"/>
      <c r="L50" s="47"/>
      <c r="M50" s="73"/>
      <c r="N50" s="47"/>
      <c r="O50" s="47"/>
      <c r="P50" s="47"/>
    </row>
    <row r="51" ht="15.75" customHeight="1">
      <c r="A51" s="47"/>
      <c r="B51" s="47"/>
      <c r="C51" s="62" t="str">
        <f t="array" ref="C51">IF(B51="","",IFERROR(INDEX(Requisitos!$C$5:$C$60,MATCH(B51,Requisitos!$A$5:$A$60,0)),"¿Requisito no existe?"))</f>
        <v/>
      </c>
      <c r="D51" s="47"/>
      <c r="E51" s="47"/>
      <c r="F51" s="47"/>
      <c r="G51" s="47"/>
      <c r="H51" s="47"/>
      <c r="I51" s="47"/>
      <c r="J51" s="47"/>
      <c r="K51" s="47"/>
      <c r="L51" s="47"/>
      <c r="M51" s="73"/>
      <c r="N51" s="47"/>
      <c r="O51" s="47"/>
      <c r="P51" s="47"/>
    </row>
    <row r="52" ht="15.75" customHeight="1">
      <c r="A52" s="47"/>
      <c r="B52" s="47"/>
      <c r="C52" s="62" t="str">
        <f t="array" ref="C52">IF(B52="","",IFERROR(INDEX(Requisitos!$C$5:$C$60,MATCH(B52,Requisitos!$A$5:$A$60,0)),"¿Requisito no existe?"))</f>
        <v/>
      </c>
      <c r="D52" s="47"/>
      <c r="E52" s="47"/>
      <c r="F52" s="47"/>
      <c r="G52" s="47"/>
      <c r="H52" s="47"/>
      <c r="I52" s="47"/>
      <c r="J52" s="47"/>
      <c r="K52" s="47"/>
      <c r="L52" s="47"/>
      <c r="M52" s="73"/>
      <c r="N52" s="47"/>
      <c r="O52" s="47"/>
      <c r="P52" s="47"/>
    </row>
    <row r="53" ht="15.75" customHeight="1">
      <c r="A53" s="47"/>
      <c r="B53" s="47"/>
      <c r="C53" s="62" t="str">
        <f t="array" ref="C53">IF(B53="","",IFERROR(INDEX(Requisitos!$C$5:$C$60,MATCH(B53,Requisitos!$A$5:$A$60,0)),"¿Requisito no existe?"))</f>
        <v/>
      </c>
      <c r="D53" s="47"/>
      <c r="E53" s="47"/>
      <c r="F53" s="47"/>
      <c r="G53" s="47"/>
      <c r="H53" s="47"/>
      <c r="I53" s="47"/>
      <c r="J53" s="47"/>
      <c r="K53" s="47"/>
      <c r="L53" s="47"/>
      <c r="M53" s="73"/>
      <c r="N53" s="47"/>
      <c r="O53" s="47"/>
      <c r="P53" s="47"/>
    </row>
    <row r="54" ht="15.75" customHeight="1">
      <c r="A54" s="47"/>
      <c r="B54" s="47"/>
      <c r="C54" s="62" t="str">
        <f t="array" ref="C54">IF(B54="","",IFERROR(INDEX(Requisitos!$C$5:$C$60,MATCH(B54,Requisitos!$A$5:$A$60,0)),"¿Requisito no existe?"))</f>
        <v/>
      </c>
      <c r="D54" s="47"/>
      <c r="E54" s="47"/>
      <c r="F54" s="47"/>
      <c r="G54" s="47"/>
      <c r="H54" s="47"/>
      <c r="I54" s="47"/>
      <c r="J54" s="47"/>
      <c r="K54" s="47"/>
      <c r="L54" s="47"/>
      <c r="M54" s="73"/>
      <c r="N54" s="47"/>
      <c r="O54" s="47"/>
      <c r="P54" s="47"/>
    </row>
    <row r="55" ht="15.75" customHeight="1">
      <c r="A55" s="47"/>
      <c r="B55" s="47"/>
      <c r="C55" s="62" t="str">
        <f t="array" ref="C55">IF(B55="","",IFERROR(INDEX(Requisitos!$C$5:$C$60,MATCH(B55,Requisitos!$A$5:$A$60,0)),"¿Requisito no existe?"))</f>
        <v/>
      </c>
      <c r="D55" s="47"/>
      <c r="E55" s="47"/>
      <c r="F55" s="47"/>
      <c r="G55" s="47"/>
      <c r="H55" s="47"/>
      <c r="I55" s="47"/>
      <c r="J55" s="47"/>
      <c r="K55" s="47"/>
      <c r="L55" s="47"/>
      <c r="M55" s="73"/>
      <c r="N55" s="47"/>
      <c r="O55" s="47"/>
      <c r="P55" s="47"/>
    </row>
    <row r="56" ht="15.75" customHeight="1">
      <c r="A56" s="47"/>
      <c r="B56" s="47"/>
      <c r="C56" s="62" t="str">
        <f t="array" ref="C56">IF(B56="","",IFERROR(INDEX(Requisitos!$C$5:$C$60,MATCH(B56,Requisitos!$A$5:$A$60,0)),"¿Requisito no existe?"))</f>
        <v/>
      </c>
      <c r="D56" s="47"/>
      <c r="E56" s="47"/>
      <c r="F56" s="47"/>
      <c r="G56" s="47"/>
      <c r="H56" s="47"/>
      <c r="I56" s="47"/>
      <c r="J56" s="47"/>
      <c r="K56" s="47"/>
      <c r="L56" s="47"/>
      <c r="M56" s="73"/>
      <c r="N56" s="47"/>
      <c r="O56" s="47"/>
      <c r="P56" s="47"/>
    </row>
    <row r="57" ht="15.75" customHeight="1">
      <c r="A57" s="47"/>
      <c r="B57" s="47"/>
      <c r="C57" s="62" t="str">
        <f t="array" ref="C57">IF(B57="","",IFERROR(INDEX(Requisitos!$C$5:$C$60,MATCH(B57,Requisitos!$A$5:$A$60,0)),"¿Requisito no existe?"))</f>
        <v/>
      </c>
      <c r="D57" s="47"/>
      <c r="E57" s="47"/>
      <c r="F57" s="47"/>
      <c r="G57" s="47"/>
      <c r="H57" s="47"/>
      <c r="I57" s="47"/>
      <c r="J57" s="47"/>
      <c r="K57" s="47"/>
      <c r="L57" s="47"/>
      <c r="M57" s="73"/>
      <c r="N57" s="47"/>
      <c r="O57" s="47"/>
      <c r="P57" s="47"/>
    </row>
    <row r="58" ht="15.75" customHeight="1">
      <c r="A58" s="47"/>
      <c r="B58" s="47"/>
      <c r="C58" s="62" t="str">
        <f t="array" ref="C58">IF(B58="","",IFERROR(INDEX(Requisitos!$C$5:$C$60,MATCH(B58,Requisitos!$A$5:$A$60,0)),"¿Requisito no existe?"))</f>
        <v/>
      </c>
      <c r="D58" s="47"/>
      <c r="E58" s="47"/>
      <c r="F58" s="47"/>
      <c r="G58" s="47"/>
      <c r="H58" s="47"/>
      <c r="I58" s="47"/>
      <c r="J58" s="47"/>
      <c r="K58" s="47"/>
      <c r="L58" s="47"/>
      <c r="M58" s="73"/>
      <c r="N58" s="47"/>
      <c r="O58" s="47"/>
      <c r="P58" s="47"/>
    </row>
    <row r="59" ht="15.75" customHeight="1">
      <c r="A59" s="47"/>
      <c r="B59" s="47"/>
      <c r="C59" s="62" t="str">
        <f t="array" ref="C59">IF(B59="","",IFERROR(INDEX(Requisitos!$C$5:$C$60,MATCH(B59,Requisitos!$A$5:$A$60,0)),"¿Requisito no existe?"))</f>
        <v/>
      </c>
      <c r="D59" s="47"/>
      <c r="E59" s="47"/>
      <c r="F59" s="47"/>
      <c r="G59" s="47"/>
      <c r="H59" s="47"/>
      <c r="I59" s="47"/>
      <c r="J59" s="47"/>
      <c r="K59" s="47"/>
      <c r="L59" s="47"/>
      <c r="M59" s="73"/>
      <c r="N59" s="47"/>
      <c r="O59" s="47"/>
      <c r="P59" s="47"/>
    </row>
    <row r="60" ht="15.75" customHeight="1">
      <c r="A60" s="47"/>
      <c r="B60" s="47"/>
      <c r="C60" s="62" t="str">
        <f t="array" ref="C60">IF(B60="","",IFERROR(INDEX(Requisitos!$C$5:$C$60,MATCH(B60,Requisitos!$A$5:$A$60,0)),"¿Requisito no existe?"))</f>
        <v/>
      </c>
      <c r="D60" s="47"/>
      <c r="E60" s="47"/>
      <c r="F60" s="47"/>
      <c r="G60" s="47"/>
      <c r="H60" s="47"/>
      <c r="I60" s="47"/>
      <c r="J60" s="47"/>
      <c r="K60" s="47"/>
      <c r="L60" s="47"/>
      <c r="M60" s="73"/>
      <c r="N60" s="47"/>
      <c r="O60" s="47"/>
      <c r="P60" s="47"/>
    </row>
    <row r="61" ht="15.75" customHeight="1">
      <c r="A61" s="47"/>
      <c r="B61" s="47"/>
      <c r="C61" s="62" t="str">
        <f t="array" ref="C61">IF(B61="","",IFERROR(INDEX(Requisitos!$C$5:$C$60,MATCH(B61,Requisitos!$A$5:$A$60,0)),"¿Requisito no existe?"))</f>
        <v/>
      </c>
      <c r="D61" s="47"/>
      <c r="E61" s="47"/>
      <c r="F61" s="47"/>
      <c r="G61" s="47"/>
      <c r="H61" s="47"/>
      <c r="I61" s="47"/>
      <c r="J61" s="47"/>
      <c r="K61" s="47"/>
      <c r="L61" s="47"/>
      <c r="M61" s="73"/>
      <c r="N61" s="47"/>
      <c r="O61" s="47"/>
      <c r="P61" s="47"/>
    </row>
    <row r="62" ht="15.75" customHeight="1">
      <c r="A62" s="47"/>
      <c r="B62" s="47"/>
      <c r="C62" s="62" t="str">
        <f t="array" ref="C62">IF(B62="","",IFERROR(INDEX(Requisitos!$C$5:$C$60,MATCH(B62,Requisitos!$A$5:$A$60,0)),"¿Requisito no existe?"))</f>
        <v/>
      </c>
      <c r="D62" s="47"/>
      <c r="E62" s="47"/>
      <c r="F62" s="47"/>
      <c r="G62" s="47"/>
      <c r="H62" s="47"/>
      <c r="I62" s="47"/>
      <c r="J62" s="47"/>
      <c r="K62" s="47"/>
      <c r="L62" s="47"/>
      <c r="M62" s="73"/>
      <c r="N62" s="47"/>
      <c r="O62" s="47"/>
      <c r="P62" s="47"/>
    </row>
    <row r="63" ht="15.75" customHeight="1">
      <c r="A63" s="47"/>
      <c r="B63" s="47"/>
      <c r="C63" s="62" t="str">
        <f t="array" ref="C63">IF(B63="","",IFERROR(INDEX(Requisitos!$C$5:$C$60,MATCH(B63,Requisitos!$A$5:$A$60,0)),"¿Requisito no existe?"))</f>
        <v/>
      </c>
      <c r="D63" s="47"/>
      <c r="E63" s="47"/>
      <c r="F63" s="47"/>
      <c r="G63" s="47"/>
      <c r="H63" s="47"/>
      <c r="I63" s="47"/>
      <c r="J63" s="47"/>
      <c r="K63" s="47"/>
      <c r="L63" s="47"/>
      <c r="M63" s="73"/>
      <c r="N63" s="47"/>
      <c r="O63" s="47"/>
      <c r="P63" s="47"/>
    </row>
    <row r="64" ht="15.75" customHeight="1">
      <c r="A64" s="47"/>
      <c r="B64" s="47"/>
      <c r="C64" s="62" t="str">
        <f t="array" ref="C64">IF(B64="","",IFERROR(INDEX(Requisitos!$C$5:$C$60,MATCH(B64,Requisitos!$A$5:$A$60,0)),"¿Requisito no existe?"))</f>
        <v/>
      </c>
      <c r="D64" s="47"/>
      <c r="E64" s="47"/>
      <c r="F64" s="47"/>
      <c r="G64" s="47"/>
      <c r="H64" s="47"/>
      <c r="I64" s="47"/>
      <c r="J64" s="47"/>
      <c r="K64" s="47"/>
      <c r="L64" s="47"/>
      <c r="M64" s="73"/>
      <c r="N64" s="47"/>
      <c r="O64" s="47"/>
      <c r="P64" s="47"/>
    </row>
    <row r="65" ht="15.75" customHeight="1">
      <c r="A65" s="47"/>
      <c r="B65" s="47"/>
      <c r="C65" s="62" t="str">
        <f t="array" ref="C65">IF(B65="","",IFERROR(INDEX(Requisitos!$C$5:$C$60,MATCH(B65,Requisitos!$A$5:$A$60,0)),"¿Requisito no existe?"))</f>
        <v/>
      </c>
      <c r="D65" s="47"/>
      <c r="E65" s="47"/>
      <c r="F65" s="47"/>
      <c r="G65" s="47"/>
      <c r="H65" s="47"/>
      <c r="I65" s="47"/>
      <c r="J65" s="47"/>
      <c r="K65" s="47"/>
      <c r="L65" s="47"/>
      <c r="M65" s="73"/>
      <c r="N65" s="47"/>
      <c r="O65" s="47"/>
      <c r="P65" s="47"/>
    </row>
    <row r="66" ht="15.75" customHeight="1">
      <c r="A66" s="47"/>
      <c r="B66" s="47"/>
      <c r="C66" s="62" t="str">
        <f t="array" ref="C66">IF(B66="","",IFERROR(INDEX(Requisitos!$C$5:$C$60,MATCH(B66,Requisitos!$A$5:$A$60,0)),"¿Requisito no existe?"))</f>
        <v/>
      </c>
      <c r="D66" s="47"/>
      <c r="E66" s="47"/>
      <c r="F66" s="47"/>
      <c r="G66" s="47"/>
      <c r="H66" s="47"/>
      <c r="I66" s="47"/>
      <c r="J66" s="47"/>
      <c r="K66" s="47"/>
      <c r="L66" s="47"/>
      <c r="M66" s="73"/>
      <c r="N66" s="47"/>
      <c r="O66" s="47"/>
      <c r="P66" s="47"/>
    </row>
    <row r="67" ht="15.75" customHeight="1">
      <c r="A67" s="47"/>
      <c r="B67" s="47"/>
      <c r="C67" s="62" t="str">
        <f t="array" ref="C67">IF(B67="","",IFERROR(INDEX(Requisitos!$C$5:$C$60,MATCH(B67,Requisitos!$A$5:$A$60,0)),"¿Requisito no existe?"))</f>
        <v/>
      </c>
      <c r="D67" s="47"/>
      <c r="E67" s="47"/>
      <c r="F67" s="47"/>
      <c r="G67" s="47"/>
      <c r="H67" s="47"/>
      <c r="I67" s="47"/>
      <c r="J67" s="47"/>
      <c r="K67" s="47"/>
      <c r="L67" s="47"/>
      <c r="M67" s="73"/>
      <c r="N67" s="47"/>
      <c r="O67" s="47"/>
      <c r="P67" s="47"/>
    </row>
    <row r="68" ht="15.75" customHeight="1">
      <c r="A68" s="47"/>
      <c r="B68" s="47"/>
      <c r="C68" s="62" t="str">
        <f t="array" ref="C68">IF(B68="","",IFERROR(INDEX(Requisitos!$C$5:$C$60,MATCH(B68,Requisitos!$A$5:$A$60,0)),"¿Requisito no existe?"))</f>
        <v/>
      </c>
      <c r="D68" s="47"/>
      <c r="E68" s="47"/>
      <c r="F68" s="47"/>
      <c r="G68" s="47"/>
      <c r="H68" s="47"/>
      <c r="I68" s="47"/>
      <c r="J68" s="47"/>
      <c r="K68" s="47"/>
      <c r="L68" s="47"/>
      <c r="M68" s="73"/>
      <c r="N68" s="47"/>
      <c r="O68" s="47"/>
      <c r="P68" s="47"/>
    </row>
    <row r="69" ht="15.75" customHeight="1">
      <c r="A69" s="47"/>
      <c r="B69" s="47"/>
      <c r="C69" s="62" t="str">
        <f t="array" ref="C69">IF(B69="","",IFERROR(INDEX(Requisitos!$C$5:$C$60,MATCH(B69,Requisitos!$A$5:$A$60,0)),"¿Requisito no existe?"))</f>
        <v/>
      </c>
      <c r="D69" s="47"/>
      <c r="E69" s="47"/>
      <c r="F69" s="47"/>
      <c r="G69" s="47"/>
      <c r="H69" s="47"/>
      <c r="I69" s="47"/>
      <c r="J69" s="47"/>
      <c r="K69" s="47"/>
      <c r="L69" s="47"/>
      <c r="M69" s="73"/>
      <c r="N69" s="47"/>
      <c r="O69" s="47"/>
      <c r="P69" s="47"/>
    </row>
    <row r="70" ht="15.75" customHeight="1">
      <c r="A70" s="47"/>
      <c r="B70" s="47"/>
      <c r="C70" s="62" t="str">
        <f t="array" ref="C70">IF(B70="","",IFERROR(INDEX(Requisitos!$C$5:$C$60,MATCH(B70,Requisitos!$A$5:$A$60,0)),"¿Requisito no existe?"))</f>
        <v/>
      </c>
      <c r="D70" s="47"/>
      <c r="E70" s="47"/>
      <c r="F70" s="47"/>
      <c r="G70" s="47"/>
      <c r="H70" s="47"/>
      <c r="I70" s="47"/>
      <c r="J70" s="47"/>
      <c r="K70" s="47"/>
      <c r="L70" s="47"/>
      <c r="M70" s="73"/>
      <c r="N70" s="47"/>
      <c r="O70" s="47"/>
      <c r="P70" s="47"/>
    </row>
    <row r="71" ht="15.75" customHeight="1">
      <c r="A71" s="47"/>
      <c r="B71" s="47"/>
      <c r="C71" s="62" t="str">
        <f t="array" ref="C71">IF(B71="","",IFERROR(INDEX(Requisitos!$C$5:$C$60,MATCH(B71,Requisitos!$A$5:$A$60,0)),"¿Requisito no existe?"))</f>
        <v/>
      </c>
      <c r="D71" s="47"/>
      <c r="E71" s="47"/>
      <c r="F71" s="47"/>
      <c r="G71" s="47"/>
      <c r="H71" s="47"/>
      <c r="I71" s="47"/>
      <c r="J71" s="47"/>
      <c r="K71" s="47"/>
      <c r="L71" s="47"/>
      <c r="M71" s="73"/>
      <c r="N71" s="47"/>
      <c r="O71" s="47"/>
      <c r="P71" s="47"/>
    </row>
    <row r="72" ht="15.75" customHeight="1">
      <c r="A72" s="47"/>
      <c r="B72" s="47"/>
      <c r="C72" s="62" t="str">
        <f t="array" ref="C72">IF(B72="","",IFERROR(INDEX(Requisitos!$C$5:$C$60,MATCH(B72,Requisitos!$A$5:$A$60,0)),"¿Requisito no existe?"))</f>
        <v/>
      </c>
      <c r="D72" s="47"/>
      <c r="E72" s="47"/>
      <c r="F72" s="47"/>
      <c r="G72" s="47"/>
      <c r="H72" s="47"/>
      <c r="I72" s="47"/>
      <c r="J72" s="47"/>
      <c r="K72" s="47"/>
      <c r="L72" s="47"/>
      <c r="M72" s="73"/>
      <c r="N72" s="47"/>
      <c r="O72" s="47"/>
      <c r="P72" s="47"/>
    </row>
    <row r="73" ht="15.75" customHeight="1">
      <c r="A73" s="47"/>
      <c r="B73" s="47"/>
      <c r="C73" s="62" t="str">
        <f t="array" ref="C73">IF(B73="","",IFERROR(INDEX(Requisitos!$C$5:$C$60,MATCH(B73,Requisitos!$A$5:$A$60,0)),"¿Requisito no existe?"))</f>
        <v/>
      </c>
      <c r="D73" s="47"/>
      <c r="E73" s="47"/>
      <c r="F73" s="47"/>
      <c r="G73" s="47"/>
      <c r="H73" s="47"/>
      <c r="I73" s="47"/>
      <c r="J73" s="47"/>
      <c r="K73" s="47"/>
      <c r="L73" s="47"/>
      <c r="M73" s="73"/>
      <c r="N73" s="47"/>
      <c r="O73" s="47"/>
      <c r="P73" s="47"/>
    </row>
    <row r="74" ht="15.75" customHeight="1">
      <c r="A74" s="47"/>
      <c r="B74" s="47"/>
      <c r="C74" s="62" t="str">
        <f t="array" ref="C74">IF(B74="","",IFERROR(INDEX(Requisitos!$C$5:$C$60,MATCH(B74,Requisitos!$A$5:$A$60,0)),"¿Requisito no existe?"))</f>
        <v/>
      </c>
      <c r="D74" s="47"/>
      <c r="E74" s="47"/>
      <c r="F74" s="47"/>
      <c r="G74" s="47"/>
      <c r="H74" s="47"/>
      <c r="I74" s="47"/>
      <c r="J74" s="47"/>
      <c r="K74" s="47"/>
      <c r="L74" s="47"/>
      <c r="M74" s="73"/>
      <c r="N74" s="47"/>
      <c r="O74" s="47"/>
      <c r="P74" s="47"/>
    </row>
    <row r="75" ht="15.75" customHeight="1">
      <c r="A75" s="47"/>
      <c r="B75" s="47"/>
      <c r="C75" s="62" t="str">
        <f t="array" ref="C75">IF(B75="","",IFERROR(INDEX(Requisitos!$C$5:$C$60,MATCH(B75,Requisitos!$A$5:$A$60,0)),"¿Requisito no existe?"))</f>
        <v/>
      </c>
      <c r="D75" s="47"/>
      <c r="E75" s="47"/>
      <c r="F75" s="47"/>
      <c r="G75" s="47"/>
      <c r="H75" s="47"/>
      <c r="I75" s="47"/>
      <c r="J75" s="47"/>
      <c r="K75" s="47"/>
      <c r="L75" s="47"/>
      <c r="M75" s="73"/>
      <c r="N75" s="47"/>
      <c r="O75" s="47"/>
      <c r="P75" s="47"/>
    </row>
    <row r="76" ht="15.75" customHeight="1">
      <c r="A76" s="47"/>
      <c r="B76" s="47"/>
      <c r="C76" s="62" t="str">
        <f t="array" ref="C76">IF(B76="","",IFERROR(INDEX(Requisitos!$C$5:$C$60,MATCH(B76,Requisitos!$A$5:$A$60,0)),"¿Requisito no existe?"))</f>
        <v/>
      </c>
      <c r="D76" s="47"/>
      <c r="E76" s="47"/>
      <c r="F76" s="47"/>
      <c r="G76" s="47"/>
      <c r="H76" s="47"/>
      <c r="I76" s="47"/>
      <c r="J76" s="47"/>
      <c r="K76" s="47"/>
      <c r="L76" s="47"/>
      <c r="M76" s="73"/>
      <c r="N76" s="47"/>
      <c r="O76" s="47"/>
      <c r="P76" s="47"/>
    </row>
    <row r="77" ht="15.75" customHeight="1">
      <c r="A77" s="47"/>
      <c r="B77" s="47"/>
      <c r="C77" s="62" t="str">
        <f t="array" ref="C77">IF(B77="","",IFERROR(INDEX(Requisitos!$C$5:$C$60,MATCH(B77,Requisitos!$A$5:$A$60,0)),"¿Requisito no existe?"))</f>
        <v/>
      </c>
      <c r="D77" s="47"/>
      <c r="E77" s="47"/>
      <c r="F77" s="47"/>
      <c r="G77" s="47"/>
      <c r="H77" s="47"/>
      <c r="I77" s="47"/>
      <c r="J77" s="47"/>
      <c r="K77" s="47"/>
      <c r="L77" s="47"/>
      <c r="M77" s="73"/>
      <c r="N77" s="47"/>
      <c r="O77" s="47"/>
      <c r="P77" s="47"/>
    </row>
    <row r="78" ht="15.75" customHeight="1">
      <c r="A78" s="47"/>
      <c r="B78" s="47"/>
      <c r="C78" s="62" t="str">
        <f t="array" ref="C78">IF(B78="","",IFERROR(INDEX(Requisitos!$C$5:$C$60,MATCH(B78,Requisitos!$A$5:$A$60,0)),"¿Requisito no existe?"))</f>
        <v/>
      </c>
      <c r="D78" s="47"/>
      <c r="E78" s="47"/>
      <c r="F78" s="47"/>
      <c r="G78" s="47"/>
      <c r="H78" s="47"/>
      <c r="I78" s="47"/>
      <c r="J78" s="47"/>
      <c r="K78" s="47"/>
      <c r="L78" s="47"/>
      <c r="M78" s="73"/>
      <c r="N78" s="47"/>
      <c r="O78" s="47"/>
      <c r="P78" s="47"/>
    </row>
    <row r="79" ht="15.75" customHeight="1">
      <c r="A79" s="47"/>
      <c r="B79" s="47"/>
      <c r="C79" s="62" t="str">
        <f t="array" ref="C79">IF(B79="","",IFERROR(INDEX(Requisitos!$C$5:$C$60,MATCH(B79,Requisitos!$A$5:$A$60,0)),"¿Requisito no existe?"))</f>
        <v/>
      </c>
      <c r="D79" s="47"/>
      <c r="E79" s="47"/>
      <c r="F79" s="47"/>
      <c r="G79" s="47"/>
      <c r="H79" s="47"/>
      <c r="I79" s="47"/>
      <c r="J79" s="47"/>
      <c r="K79" s="47"/>
      <c r="L79" s="47"/>
      <c r="M79" s="73"/>
      <c r="N79" s="47"/>
      <c r="O79" s="47"/>
      <c r="P79" s="47"/>
    </row>
    <row r="80" ht="15.75" customHeight="1">
      <c r="A80" s="47"/>
      <c r="B80" s="47"/>
      <c r="C80" s="62" t="str">
        <f t="array" ref="C80">IF(B80="","",IFERROR(INDEX(Requisitos!$C$5:$C$60,MATCH(B80,Requisitos!$A$5:$A$60,0)),"¿Requisito no existe?"))</f>
        <v/>
      </c>
      <c r="D80" s="47"/>
      <c r="E80" s="47"/>
      <c r="F80" s="47"/>
      <c r="G80" s="47"/>
      <c r="H80" s="47"/>
      <c r="I80" s="47"/>
      <c r="J80" s="47"/>
      <c r="K80" s="47"/>
      <c r="L80" s="47"/>
      <c r="M80" s="73"/>
      <c r="N80" s="47"/>
      <c r="O80" s="47"/>
      <c r="P80" s="47"/>
    </row>
    <row r="81" ht="15.75" customHeight="1">
      <c r="A81" s="47"/>
      <c r="B81" s="47"/>
      <c r="C81" s="62" t="str">
        <f t="array" ref="C81">IF(B81="","",IFERROR(INDEX(Requisitos!$C$5:$C$60,MATCH(B81,Requisitos!$A$5:$A$60,0)),"¿Requisito no existe?"))</f>
        <v/>
      </c>
      <c r="D81" s="47"/>
      <c r="E81" s="47"/>
      <c r="F81" s="47"/>
      <c r="G81" s="47"/>
      <c r="H81" s="47"/>
      <c r="I81" s="47"/>
      <c r="J81" s="47"/>
      <c r="K81" s="47"/>
      <c r="L81" s="47"/>
      <c r="M81" s="73"/>
      <c r="N81" s="47"/>
      <c r="O81" s="47"/>
      <c r="P81" s="47"/>
    </row>
    <row r="82" ht="15.75" customHeight="1">
      <c r="A82" s="47"/>
      <c r="B82" s="47"/>
      <c r="C82" s="62" t="str">
        <f t="array" ref="C82">IF(B82="","",IFERROR(INDEX(Requisitos!$C$5:$C$60,MATCH(B82,Requisitos!$A$5:$A$60,0)),"¿Requisito no existe?"))</f>
        <v/>
      </c>
      <c r="D82" s="47"/>
      <c r="E82" s="47"/>
      <c r="F82" s="47"/>
      <c r="G82" s="47"/>
      <c r="H82" s="47"/>
      <c r="I82" s="47"/>
      <c r="J82" s="47"/>
      <c r="K82" s="47"/>
      <c r="L82" s="47"/>
      <c r="M82" s="73"/>
      <c r="N82" s="47"/>
      <c r="O82" s="47"/>
      <c r="P82" s="47"/>
    </row>
    <row r="83" ht="15.75" customHeight="1">
      <c r="A83" s="47"/>
      <c r="B83" s="47"/>
      <c r="C83" s="62" t="str">
        <f t="array" ref="C83">IF(B83="","",IFERROR(INDEX(Requisitos!$C$5:$C$60,MATCH(B83,Requisitos!$A$5:$A$60,0)),"¿Requisito no existe?"))</f>
        <v/>
      </c>
      <c r="D83" s="47"/>
      <c r="E83" s="47"/>
      <c r="F83" s="47"/>
      <c r="G83" s="47"/>
      <c r="H83" s="47"/>
      <c r="I83" s="47"/>
      <c r="J83" s="47"/>
      <c r="K83" s="47"/>
      <c r="L83" s="47"/>
      <c r="M83" s="73"/>
      <c r="N83" s="47"/>
      <c r="O83" s="47"/>
      <c r="P83" s="47"/>
    </row>
    <row r="84" ht="15.75" customHeight="1">
      <c r="A84" s="47"/>
      <c r="B84" s="47"/>
      <c r="C84" s="62" t="str">
        <f t="array" ref="C84">IF(B84="","",IFERROR(INDEX(Requisitos!$C$5:$C$60,MATCH(B84,Requisitos!$A$5:$A$60,0)),"¿Requisito no existe?"))</f>
        <v/>
      </c>
      <c r="D84" s="47"/>
      <c r="E84" s="47"/>
      <c r="F84" s="47"/>
      <c r="G84" s="47"/>
      <c r="H84" s="47"/>
      <c r="I84" s="47"/>
      <c r="J84" s="47"/>
      <c r="K84" s="47"/>
      <c r="L84" s="47"/>
      <c r="M84" s="73"/>
      <c r="N84" s="47"/>
      <c r="O84" s="47"/>
      <c r="P84" s="47"/>
    </row>
    <row r="85" ht="15.75" customHeight="1">
      <c r="A85" s="47"/>
      <c r="B85" s="47"/>
      <c r="C85" s="62" t="str">
        <f t="array" ref="C85">IF(B85="","",IFERROR(INDEX(Requisitos!$C$5:$C$60,MATCH(B85,Requisitos!$A$5:$A$60,0)),"¿Requisito no existe?"))</f>
        <v/>
      </c>
      <c r="D85" s="47"/>
      <c r="E85" s="47"/>
      <c r="F85" s="47"/>
      <c r="G85" s="47"/>
      <c r="H85" s="47"/>
      <c r="I85" s="47"/>
      <c r="J85" s="47"/>
      <c r="K85" s="47"/>
      <c r="L85" s="47"/>
      <c r="M85" s="73"/>
      <c r="N85" s="47"/>
      <c r="O85" s="47"/>
      <c r="P85" s="47"/>
    </row>
    <row r="86" ht="15.75" customHeight="1">
      <c r="A86" s="47"/>
      <c r="B86" s="47"/>
      <c r="C86" s="62" t="str">
        <f t="array" ref="C86">IF(B86="","",IFERROR(INDEX(Requisitos!$C$5:$C$60,MATCH(B86,Requisitos!$A$5:$A$60,0)),"¿Requisito no existe?"))</f>
        <v/>
      </c>
      <c r="D86" s="47"/>
      <c r="E86" s="47"/>
      <c r="F86" s="47"/>
      <c r="G86" s="47"/>
      <c r="H86" s="47"/>
      <c r="I86" s="47"/>
      <c r="J86" s="47"/>
      <c r="K86" s="47"/>
      <c r="L86" s="47"/>
      <c r="M86" s="73"/>
      <c r="N86" s="47"/>
      <c r="O86" s="47"/>
      <c r="P86" s="47"/>
    </row>
    <row r="87" ht="15.75" customHeight="1">
      <c r="A87" s="47"/>
      <c r="B87" s="47"/>
      <c r="C87" s="62" t="str">
        <f t="array" ref="C87">IF(B87="","",IFERROR(INDEX(Requisitos!$C$5:$C$60,MATCH(B87,Requisitos!$A$5:$A$60,0)),"¿Requisito no existe?"))</f>
        <v/>
      </c>
      <c r="D87" s="47"/>
      <c r="E87" s="47"/>
      <c r="F87" s="47"/>
      <c r="G87" s="47"/>
      <c r="H87" s="47"/>
      <c r="I87" s="47"/>
      <c r="J87" s="47"/>
      <c r="K87" s="47"/>
      <c r="L87" s="47"/>
      <c r="M87" s="73"/>
      <c r="N87" s="47"/>
      <c r="O87" s="47"/>
      <c r="P87" s="47"/>
    </row>
    <row r="88" ht="15.75" customHeight="1">
      <c r="A88" s="47"/>
      <c r="B88" s="47"/>
      <c r="C88" s="62" t="str">
        <f t="array" ref="C88">IF(B88="","",IFERROR(INDEX(Requisitos!$C$5:$C$60,MATCH(B88,Requisitos!$A$5:$A$60,0)),"¿Requisito no existe?"))</f>
        <v/>
      </c>
      <c r="D88" s="47"/>
      <c r="E88" s="47"/>
      <c r="F88" s="47"/>
      <c r="G88" s="47"/>
      <c r="H88" s="47"/>
      <c r="I88" s="47"/>
      <c r="J88" s="47"/>
      <c r="K88" s="47"/>
      <c r="L88" s="47"/>
      <c r="M88" s="73"/>
      <c r="N88" s="47"/>
      <c r="O88" s="47"/>
      <c r="P88" s="47"/>
    </row>
    <row r="89" ht="15.75" customHeight="1">
      <c r="A89" s="47"/>
      <c r="B89" s="47"/>
      <c r="C89" s="62" t="str">
        <f t="array" ref="C89">IF(B89="","",IFERROR(INDEX(Requisitos!$C$5:$C$60,MATCH(B89,Requisitos!$A$5:$A$60,0)),"¿Requisito no existe?"))</f>
        <v/>
      </c>
      <c r="D89" s="47"/>
      <c r="E89" s="47"/>
      <c r="F89" s="47"/>
      <c r="G89" s="47"/>
      <c r="H89" s="47"/>
      <c r="I89" s="47"/>
      <c r="J89" s="47"/>
      <c r="K89" s="47"/>
      <c r="L89" s="47"/>
      <c r="M89" s="73"/>
      <c r="N89" s="47"/>
      <c r="O89" s="47"/>
      <c r="P89" s="47"/>
    </row>
    <row r="90" ht="15.75" customHeight="1">
      <c r="A90" s="47"/>
      <c r="B90" s="47"/>
      <c r="C90" s="62" t="str">
        <f t="array" ref="C90">IF(B90="","",IFERROR(INDEX(Requisitos!$C$5:$C$60,MATCH(B90,Requisitos!$A$5:$A$60,0)),"¿Requisito no existe?"))</f>
        <v/>
      </c>
      <c r="D90" s="47"/>
      <c r="E90" s="47"/>
      <c r="F90" s="47"/>
      <c r="G90" s="47"/>
      <c r="H90" s="47"/>
      <c r="I90" s="47"/>
      <c r="J90" s="47"/>
      <c r="K90" s="47"/>
      <c r="L90" s="47"/>
      <c r="M90" s="73"/>
      <c r="N90" s="47"/>
      <c r="O90" s="47"/>
      <c r="P90" s="47"/>
    </row>
    <row r="91" ht="15.75" customHeight="1">
      <c r="A91" s="47"/>
      <c r="B91" s="47"/>
      <c r="C91" s="62" t="str">
        <f t="array" ref="C91">IF(B91="","",IFERROR(INDEX(Requisitos!$C$5:$C$60,MATCH(B91,Requisitos!$A$5:$A$60,0)),"¿Requisito no existe?"))</f>
        <v/>
      </c>
      <c r="D91" s="47"/>
      <c r="E91" s="47"/>
      <c r="F91" s="47"/>
      <c r="G91" s="47"/>
      <c r="H91" s="47"/>
      <c r="I91" s="47"/>
      <c r="J91" s="47"/>
      <c r="K91" s="47"/>
      <c r="L91" s="47"/>
      <c r="M91" s="73"/>
      <c r="N91" s="47"/>
      <c r="O91" s="47"/>
      <c r="P91" s="47"/>
    </row>
    <row r="92" ht="15.75" customHeight="1">
      <c r="A92" s="47"/>
      <c r="B92" s="47"/>
      <c r="C92" s="62" t="str">
        <f t="array" ref="C92">IF(B92="","",IFERROR(INDEX(Requisitos!$C$5:$C$60,MATCH(B92,Requisitos!$A$5:$A$60,0)),"¿Requisito no existe?"))</f>
        <v/>
      </c>
      <c r="D92" s="47"/>
      <c r="E92" s="47"/>
      <c r="F92" s="47"/>
      <c r="G92" s="47"/>
      <c r="H92" s="47"/>
      <c r="I92" s="47"/>
      <c r="J92" s="47"/>
      <c r="K92" s="47"/>
      <c r="L92" s="47"/>
      <c r="M92" s="73"/>
      <c r="N92" s="47"/>
      <c r="O92" s="47"/>
      <c r="P92" s="47"/>
    </row>
    <row r="93" ht="15.75" customHeight="1">
      <c r="A93" s="47"/>
      <c r="B93" s="47"/>
      <c r="C93" s="62" t="str">
        <f t="array" ref="C93">IF(B93="","",IFERROR(INDEX(Requisitos!$C$5:$C$60,MATCH(B93,Requisitos!$A$5:$A$60,0)),"¿Requisito no existe?"))</f>
        <v/>
      </c>
      <c r="D93" s="47"/>
      <c r="E93" s="47"/>
      <c r="F93" s="47"/>
      <c r="G93" s="47"/>
      <c r="H93" s="47"/>
      <c r="I93" s="47"/>
      <c r="J93" s="47"/>
      <c r="K93" s="47"/>
      <c r="L93" s="47"/>
      <c r="M93" s="73"/>
      <c r="N93" s="47"/>
      <c r="O93" s="47"/>
      <c r="P93" s="47"/>
    </row>
    <row r="94" ht="15.75" customHeight="1">
      <c r="A94" s="47"/>
      <c r="B94" s="47"/>
      <c r="C94" s="62" t="str">
        <f t="array" ref="C94">IF(B94="","",IFERROR(INDEX(Requisitos!$C$5:$C$60,MATCH(B94,Requisitos!$A$5:$A$60,0)),"¿Requisito no existe?"))</f>
        <v/>
      </c>
      <c r="D94" s="47"/>
      <c r="E94" s="47"/>
      <c r="F94" s="47"/>
      <c r="G94" s="47"/>
      <c r="H94" s="47"/>
      <c r="I94" s="47"/>
      <c r="J94" s="47"/>
      <c r="K94" s="47"/>
      <c r="L94" s="47"/>
      <c r="M94" s="73"/>
      <c r="N94" s="47"/>
      <c r="O94" s="47"/>
      <c r="P94" s="47"/>
    </row>
    <row r="95" ht="15.75" customHeight="1">
      <c r="A95" s="47"/>
      <c r="B95" s="47"/>
      <c r="C95" s="62" t="str">
        <f t="array" ref="C95">IF(B95="","",IFERROR(INDEX(Requisitos!$C$5:$C$60,MATCH(B95,Requisitos!$A$5:$A$60,0)),"¿Requisito no existe?"))</f>
        <v/>
      </c>
      <c r="D95" s="47"/>
      <c r="E95" s="47"/>
      <c r="F95" s="47"/>
      <c r="G95" s="47"/>
      <c r="H95" s="47"/>
      <c r="I95" s="47"/>
      <c r="J95" s="47"/>
      <c r="K95" s="47"/>
      <c r="L95" s="47"/>
      <c r="M95" s="73"/>
      <c r="N95" s="47"/>
      <c r="O95" s="47"/>
      <c r="P95" s="47"/>
    </row>
    <row r="96" ht="15.75" customHeight="1">
      <c r="A96" s="47"/>
      <c r="B96" s="47"/>
      <c r="C96" s="62" t="str">
        <f t="array" ref="C96">IF(B96="","",IFERROR(INDEX(Requisitos!$C$5:$C$60,MATCH(B96,Requisitos!$A$5:$A$60,0)),"¿Requisito no existe?"))</f>
        <v/>
      </c>
      <c r="D96" s="47"/>
      <c r="E96" s="47"/>
      <c r="F96" s="47"/>
      <c r="G96" s="47"/>
      <c r="H96" s="47"/>
      <c r="I96" s="47"/>
      <c r="J96" s="47"/>
      <c r="K96" s="47"/>
      <c r="L96" s="47"/>
      <c r="M96" s="73"/>
      <c r="N96" s="47"/>
      <c r="O96" s="47"/>
      <c r="P96" s="47"/>
    </row>
    <row r="97" ht="15.75" customHeight="1">
      <c r="A97" s="47"/>
      <c r="B97" s="47"/>
      <c r="C97" s="62" t="str">
        <f t="array" ref="C97">IF(B97="","",IFERROR(INDEX(Requisitos!$C$5:$C$60,MATCH(B97,Requisitos!$A$5:$A$60,0)),"¿Requisito no existe?"))</f>
        <v/>
      </c>
      <c r="D97" s="47"/>
      <c r="E97" s="47"/>
      <c r="F97" s="47"/>
      <c r="G97" s="47"/>
      <c r="H97" s="47"/>
      <c r="I97" s="47"/>
      <c r="J97" s="47"/>
      <c r="K97" s="47"/>
      <c r="L97" s="47"/>
      <c r="M97" s="73"/>
      <c r="N97" s="47"/>
      <c r="O97" s="47"/>
      <c r="P97" s="47"/>
    </row>
    <row r="98" ht="15.75" customHeight="1">
      <c r="A98" s="47"/>
      <c r="B98" s="47"/>
      <c r="C98" s="62" t="str">
        <f t="array" ref="C98">IF(B98="","",IFERROR(INDEX(Requisitos!$C$5:$C$60,MATCH(B98,Requisitos!$A$5:$A$60,0)),"¿Requisito no existe?"))</f>
        <v/>
      </c>
      <c r="D98" s="47"/>
      <c r="E98" s="47"/>
      <c r="F98" s="47"/>
      <c r="G98" s="47"/>
      <c r="H98" s="47"/>
      <c r="I98" s="47"/>
      <c r="J98" s="47"/>
      <c r="K98" s="47"/>
      <c r="L98" s="47"/>
      <c r="M98" s="73"/>
      <c r="N98" s="47"/>
      <c r="O98" s="47"/>
      <c r="P98" s="47"/>
    </row>
    <row r="99" ht="15.75" customHeight="1">
      <c r="A99" s="47"/>
      <c r="B99" s="47"/>
      <c r="C99" s="62" t="str">
        <f t="array" ref="C99">IF(B99="","",IFERROR(INDEX(Requisitos!$C$5:$C$60,MATCH(B99,Requisitos!$A$5:$A$60,0)),"¿Requisito no existe?"))</f>
        <v/>
      </c>
      <c r="D99" s="47"/>
      <c r="E99" s="47"/>
      <c r="F99" s="47"/>
      <c r="G99" s="47"/>
      <c r="H99" s="47"/>
      <c r="I99" s="47"/>
      <c r="J99" s="47"/>
      <c r="K99" s="47"/>
      <c r="L99" s="47"/>
      <c r="M99" s="73"/>
      <c r="N99" s="47"/>
      <c r="O99" s="47"/>
      <c r="P99" s="47"/>
    </row>
    <row r="100" ht="15.75" customHeight="1">
      <c r="A100" s="47"/>
      <c r="B100" s="47"/>
      <c r="C100" s="62" t="str">
        <f t="array" ref="C100">IF(B100="","",IFERROR(INDEX(Requisitos!$C$5:$C$60,MATCH(B100,Requisitos!$A$5:$A$60,0)),"¿Requisito no existe?"))</f>
        <v/>
      </c>
      <c r="D100" s="47"/>
      <c r="E100" s="47"/>
      <c r="F100" s="47"/>
      <c r="G100" s="47"/>
      <c r="H100" s="47"/>
      <c r="I100" s="47"/>
      <c r="J100" s="47"/>
      <c r="K100" s="47"/>
      <c r="L100" s="47"/>
      <c r="M100" s="73"/>
      <c r="N100" s="47"/>
      <c r="O100" s="47"/>
      <c r="P100" s="47"/>
    </row>
    <row r="101" ht="15.75" customHeight="1">
      <c r="A101" s="47"/>
      <c r="B101" s="47"/>
      <c r="C101" s="62" t="str">
        <f t="array" ref="C101">IF(B101="","",IFERROR(INDEX(Requisitos!$C$5:$C$60,MATCH(B101,Requisitos!$A$5:$A$60,0)),"¿Requisito no existe?"))</f>
        <v/>
      </c>
      <c r="D101" s="47"/>
      <c r="E101" s="47"/>
      <c r="F101" s="47"/>
      <c r="G101" s="47"/>
      <c r="H101" s="47"/>
      <c r="I101" s="47"/>
      <c r="J101" s="47"/>
      <c r="K101" s="47"/>
      <c r="L101" s="47"/>
      <c r="M101" s="73"/>
      <c r="N101" s="47"/>
      <c r="O101" s="47"/>
      <c r="P101" s="47"/>
    </row>
    <row r="102" ht="15.75" customHeight="1">
      <c r="A102" s="47"/>
      <c r="B102" s="47"/>
      <c r="C102" s="62" t="str">
        <f t="array" ref="C102">IF(B102="","",IFERROR(INDEX(Requisitos!$C$5:$C$60,MATCH(B102,Requisitos!$A$5:$A$60,0)),"¿Requisito no existe?"))</f>
        <v/>
      </c>
      <c r="D102" s="47"/>
      <c r="E102" s="47"/>
      <c r="F102" s="47"/>
      <c r="G102" s="47"/>
      <c r="H102" s="47"/>
      <c r="I102" s="47"/>
      <c r="J102" s="47"/>
      <c r="K102" s="47"/>
      <c r="L102" s="47"/>
      <c r="M102" s="73"/>
      <c r="N102" s="47"/>
      <c r="O102" s="47"/>
      <c r="P102" s="47"/>
    </row>
    <row r="103" ht="15.75" customHeight="1">
      <c r="A103" s="47"/>
      <c r="B103" s="47"/>
      <c r="C103" s="62" t="str">
        <f t="array" ref="C103">IF(B103="","",IFERROR(INDEX(Requisitos!$C$5:$C$60,MATCH(B103,Requisitos!$A$5:$A$60,0)),"¿Requisito no existe?"))</f>
        <v/>
      </c>
      <c r="D103" s="47"/>
      <c r="E103" s="47"/>
      <c r="F103" s="47"/>
      <c r="G103" s="47"/>
      <c r="H103" s="47"/>
      <c r="I103" s="47"/>
      <c r="J103" s="47"/>
      <c r="K103" s="47"/>
      <c r="L103" s="47"/>
      <c r="M103" s="73"/>
      <c r="N103" s="47"/>
      <c r="O103" s="47"/>
      <c r="P103" s="47"/>
    </row>
    <row r="104" ht="15.75" customHeight="1">
      <c r="A104" s="47"/>
      <c r="B104" s="47"/>
      <c r="C104" s="62" t="str">
        <f t="array" ref="C104">IF(B104="","",IFERROR(INDEX(Requisitos!$C$5:$C$60,MATCH(B104,Requisitos!$A$5:$A$60,0)),"¿Requisito no existe?"))</f>
        <v/>
      </c>
      <c r="D104" s="47"/>
      <c r="E104" s="47"/>
      <c r="F104" s="47"/>
      <c r="G104" s="47"/>
      <c r="H104" s="47"/>
      <c r="I104" s="47"/>
      <c r="J104" s="47"/>
      <c r="K104" s="47"/>
      <c r="L104" s="47"/>
      <c r="M104" s="73"/>
      <c r="N104" s="47"/>
      <c r="O104" s="47"/>
      <c r="P104" s="47"/>
    </row>
    <row r="105" ht="15.75" customHeight="1"/>
    <row r="106" ht="15.75" customHeight="1">
      <c r="A106" s="2" t="s">
        <v>560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5:M104">
    <cfRule type="cellIs" dxfId="0" priority="1" operator="equal">
      <formula>"APROBADO"</formula>
    </cfRule>
  </conditionalFormatting>
  <conditionalFormatting sqref="M5:M104">
    <cfRule type="cellIs" dxfId="1" priority="2" operator="equal">
      <formula>"FALLIDO"</formula>
    </cfRule>
  </conditionalFormatting>
  <conditionalFormatting sqref="M5:M104">
    <cfRule type="cellIs" dxfId="2" priority="3" operator="equal">
      <formula>"BLOQUEADO"</formula>
    </cfRule>
  </conditionalFormatting>
  <dataValidations>
    <dataValidation type="list" allowBlank="1" sqref="D5:D104">
      <formula1>Listas!$D$2:$D$8</formula1>
    </dataValidation>
    <dataValidation type="list" allowBlank="1" showInputMessage="1" showErrorMessage="1" prompt="Requisito inexistente - Usa un ID que exista en la hoja Requisitos." sqref="B5:B104">
      <formula1>Requisitos!$A$5:$A$60</formula1>
    </dataValidation>
    <dataValidation type="list" allowBlank="1" sqref="F5:F104">
      <formula1>Listas!$C$2:$C$4</formula1>
    </dataValidation>
    <dataValidation type="list" allowBlank="1" sqref="M5:M104">
      <formula1>Listas!$F$2:$F$5</formula1>
    </dataValidation>
    <dataValidation type="list" allowBlank="1" sqref="E5:E104">
      <formula1>Listas!$E$2:$E$9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40.0"/>
    <col customWidth="1" min="3" max="3" width="18.0"/>
    <col customWidth="1" min="4" max="5" width="16.0"/>
    <col customWidth="1" min="6" max="7" width="12.0"/>
    <col customWidth="1" min="8" max="9" width="14.0"/>
    <col customWidth="1" min="10" max="26" width="8.71"/>
  </cols>
  <sheetData>
    <row r="1">
      <c r="A1" s="1" t="s">
        <v>181</v>
      </c>
    </row>
    <row r="2">
      <c r="A2" s="14" t="s">
        <v>183</v>
      </c>
    </row>
    <row r="4" ht="31.5" customHeight="1">
      <c r="A4" s="4" t="s">
        <v>184</v>
      </c>
      <c r="B4" s="4" t="s">
        <v>186</v>
      </c>
      <c r="C4" s="4" t="s">
        <v>187</v>
      </c>
      <c r="D4" s="4" t="s">
        <v>188</v>
      </c>
      <c r="E4" s="4" t="s">
        <v>189</v>
      </c>
      <c r="F4" s="4" t="s">
        <v>190</v>
      </c>
      <c r="G4" s="4" t="s">
        <v>191</v>
      </c>
      <c r="H4" s="4" t="s">
        <v>192</v>
      </c>
      <c r="I4" s="4" t="s">
        <v>195</v>
      </c>
    </row>
    <row r="5">
      <c r="A5" s="54" t="s">
        <v>197</v>
      </c>
      <c r="B5" s="54" t="s">
        <v>200</v>
      </c>
      <c r="C5" s="57">
        <f>Calculo_Referencia!R12</f>
        <v>4328.333333</v>
      </c>
      <c r="D5" s="58"/>
      <c r="E5" s="48" t="str">
        <f t="shared" ref="E5:E24" si="1">IF(OR(C5="",D5=""),"",ABS(D5-C5))</f>
        <v/>
      </c>
      <c r="F5" s="54">
        <v>0.01</v>
      </c>
      <c r="G5" s="54" t="s">
        <v>210</v>
      </c>
      <c r="H5" s="72" t="str">
        <f t="shared" ref="H5:H12" si="2">IF(C5="","",IF(D5="","PENDIENTE",IF(IF(C5=0,E5,E5/ABS(C5)*100)&lt;=F5,"APROBADO","FALLIDO")))</f>
        <v>PENDIENTE</v>
      </c>
      <c r="I5" s="73"/>
    </row>
    <row r="6">
      <c r="A6" s="54" t="s">
        <v>218</v>
      </c>
      <c r="B6" s="54" t="s">
        <v>219</v>
      </c>
      <c r="C6" s="57">
        <f>Calculo_Referencia!R13</f>
        <v>4370.5</v>
      </c>
      <c r="D6" s="58"/>
      <c r="E6" s="48" t="str">
        <f t="shared" si="1"/>
        <v/>
      </c>
      <c r="F6" s="54">
        <v>0.01</v>
      </c>
      <c r="G6" s="54" t="s">
        <v>210</v>
      </c>
      <c r="H6" s="72" t="str">
        <f t="shared" si="2"/>
        <v>PENDIENTE</v>
      </c>
      <c r="I6" s="73"/>
    </row>
    <row r="7">
      <c r="A7" s="54" t="s">
        <v>220</v>
      </c>
      <c r="B7" s="54" t="s">
        <v>221</v>
      </c>
      <c r="C7" s="57">
        <f>Calculo_Referencia!R14</f>
        <v>5273.176416</v>
      </c>
      <c r="D7" s="58"/>
      <c r="E7" s="48" t="str">
        <f t="shared" si="1"/>
        <v/>
      </c>
      <c r="F7" s="54">
        <v>0.01</v>
      </c>
      <c r="G7" s="54" t="s">
        <v>210</v>
      </c>
      <c r="H7" s="72" t="str">
        <f t="shared" si="2"/>
        <v>PENDIENTE</v>
      </c>
      <c r="I7" s="73"/>
    </row>
    <row r="8">
      <c r="A8" s="54" t="s">
        <v>222</v>
      </c>
      <c r="B8" s="54" t="s">
        <v>224</v>
      </c>
      <c r="C8" s="57">
        <f>Calculo_Referencia!R15</f>
        <v>5523.441398</v>
      </c>
      <c r="D8" s="58"/>
      <c r="E8" s="48" t="str">
        <f t="shared" si="1"/>
        <v/>
      </c>
      <c r="F8" s="54">
        <v>0.01</v>
      </c>
      <c r="G8" s="54" t="s">
        <v>210</v>
      </c>
      <c r="H8" s="72" t="str">
        <f t="shared" si="2"/>
        <v>PENDIENTE</v>
      </c>
      <c r="I8" s="73"/>
    </row>
    <row r="9">
      <c r="A9" s="54" t="s">
        <v>227</v>
      </c>
      <c r="B9" s="54" t="s">
        <v>228</v>
      </c>
      <c r="C9" s="57">
        <f>Calculo_Referencia!R16</f>
        <v>5259.148551</v>
      </c>
      <c r="D9" s="58"/>
      <c r="E9" s="48" t="str">
        <f t="shared" si="1"/>
        <v/>
      </c>
      <c r="F9" s="54">
        <v>0.01</v>
      </c>
      <c r="G9" s="54" t="s">
        <v>210</v>
      </c>
      <c r="H9" s="72" t="str">
        <f t="shared" si="2"/>
        <v>PENDIENTE</v>
      </c>
      <c r="I9" s="73"/>
    </row>
    <row r="10">
      <c r="A10" s="54" t="s">
        <v>229</v>
      </c>
      <c r="B10" s="54" t="s">
        <v>230</v>
      </c>
      <c r="C10" s="57">
        <f>Calculo_Referencia!R17</f>
        <v>5413.333333</v>
      </c>
      <c r="D10" s="58"/>
      <c r="E10" s="48" t="str">
        <f t="shared" si="1"/>
        <v/>
      </c>
      <c r="F10" s="54">
        <v>0.01</v>
      </c>
      <c r="G10" s="54" t="s">
        <v>210</v>
      </c>
      <c r="H10" s="72" t="str">
        <f t="shared" si="2"/>
        <v>PENDIENTE</v>
      </c>
      <c r="I10" s="73"/>
    </row>
    <row r="11">
      <c r="A11" s="54" t="s">
        <v>234</v>
      </c>
      <c r="B11" s="54" t="s">
        <v>235</v>
      </c>
      <c r="C11" s="57">
        <f>Calculo_Referencia!R18</f>
        <v>307.3809524</v>
      </c>
      <c r="D11" s="58"/>
      <c r="E11" s="48" t="str">
        <f t="shared" si="1"/>
        <v/>
      </c>
      <c r="F11" s="54">
        <v>0.01</v>
      </c>
      <c r="G11" s="54" t="s">
        <v>210</v>
      </c>
      <c r="H11" s="72" t="str">
        <f t="shared" si="2"/>
        <v>PENDIENTE</v>
      </c>
      <c r="I11" s="73"/>
    </row>
    <row r="12">
      <c r="A12" s="54" t="s">
        <v>236</v>
      </c>
      <c r="B12" s="54" t="s">
        <v>237</v>
      </c>
      <c r="C12" s="57">
        <f>Calculo_Referencia!R19</f>
        <v>143397.2222</v>
      </c>
      <c r="D12" s="58"/>
      <c r="E12" s="48" t="str">
        <f t="shared" si="1"/>
        <v/>
      </c>
      <c r="F12" s="54">
        <v>0.01</v>
      </c>
      <c r="G12" s="54" t="s">
        <v>210</v>
      </c>
      <c r="H12" s="72" t="str">
        <f t="shared" si="2"/>
        <v>PENDIENTE</v>
      </c>
      <c r="I12" s="73"/>
    </row>
    <row r="13">
      <c r="A13" s="54" t="s">
        <v>240</v>
      </c>
      <c r="B13" s="54" t="s">
        <v>241</v>
      </c>
      <c r="C13" s="57">
        <f>Calculo_Referencia!R20</f>
        <v>6.260402803</v>
      </c>
      <c r="D13" s="58"/>
      <c r="E13" s="48" t="str">
        <f t="shared" si="1"/>
        <v/>
      </c>
      <c r="F13" s="54">
        <v>0.01</v>
      </c>
      <c r="G13" s="54" t="s">
        <v>242</v>
      </c>
      <c r="H13" s="72" t="str">
        <f>IF(C13="","",IF(D13="","PENDIENTE",IF(E13&lt;=F13,"APROBADO","FALLIDO")))</f>
        <v>PENDIENTE</v>
      </c>
      <c r="I13" s="73"/>
    </row>
    <row r="14">
      <c r="A14" s="54" t="s">
        <v>245</v>
      </c>
      <c r="B14" s="54" t="s">
        <v>246</v>
      </c>
      <c r="C14" s="73">
        <f>Calculo_Referencia!R21</f>
        <v>7.444616576</v>
      </c>
      <c r="D14" s="58"/>
      <c r="E14" s="48" t="str">
        <f t="shared" si="1"/>
        <v/>
      </c>
      <c r="F14" s="54">
        <v>0.01</v>
      </c>
      <c r="G14" s="54" t="s">
        <v>210</v>
      </c>
      <c r="H14" s="72" t="str">
        <f>IF(C14="","",IF(D14="","PENDIENTE",IF(IF(C14=0,E14,E14/ABS(C14)*100)&lt;=F14,"APROBADO","FALLIDO")))</f>
        <v>PENDIENTE</v>
      </c>
      <c r="I14" s="73"/>
    </row>
    <row r="15">
      <c r="A15" s="73"/>
      <c r="B15" s="73"/>
      <c r="C15" s="73"/>
      <c r="D15" s="58"/>
      <c r="E15" s="48" t="str">
        <f t="shared" si="1"/>
        <v/>
      </c>
      <c r="F15" s="73"/>
      <c r="G15" s="73"/>
      <c r="H15" s="72" t="str">
        <f t="shared" ref="H15:H24" si="3">IF(C15="","",IF(D15="","PENDIENTE",IF(ABS(D15-C15)&lt;=F15,"APROBADO","FALLIDO")))</f>
        <v/>
      </c>
      <c r="I15" s="73"/>
    </row>
    <row r="16">
      <c r="A16" s="73"/>
      <c r="B16" s="73"/>
      <c r="C16" s="73"/>
      <c r="D16" s="58"/>
      <c r="E16" s="48" t="str">
        <f t="shared" si="1"/>
        <v/>
      </c>
      <c r="F16" s="73"/>
      <c r="G16" s="73"/>
      <c r="H16" s="72" t="str">
        <f t="shared" si="3"/>
        <v/>
      </c>
      <c r="I16" s="73"/>
    </row>
    <row r="17">
      <c r="A17" s="73"/>
      <c r="B17" s="73"/>
      <c r="C17" s="73"/>
      <c r="D17" s="58"/>
      <c r="E17" s="48" t="str">
        <f t="shared" si="1"/>
        <v/>
      </c>
      <c r="F17" s="73"/>
      <c r="G17" s="73"/>
      <c r="H17" s="72" t="str">
        <f t="shared" si="3"/>
        <v/>
      </c>
      <c r="I17" s="73"/>
    </row>
    <row r="18">
      <c r="A18" s="73"/>
      <c r="B18" s="73"/>
      <c r="C18" s="73"/>
      <c r="D18" s="58"/>
      <c r="E18" s="48" t="str">
        <f t="shared" si="1"/>
        <v/>
      </c>
      <c r="F18" s="73"/>
      <c r="G18" s="73"/>
      <c r="H18" s="72" t="str">
        <f t="shared" si="3"/>
        <v/>
      </c>
      <c r="I18" s="73"/>
    </row>
    <row r="19">
      <c r="A19" s="73"/>
      <c r="B19" s="73"/>
      <c r="C19" s="73"/>
      <c r="D19" s="58"/>
      <c r="E19" s="48" t="str">
        <f t="shared" si="1"/>
        <v/>
      </c>
      <c r="F19" s="73"/>
      <c r="G19" s="73"/>
      <c r="H19" s="72" t="str">
        <f t="shared" si="3"/>
        <v/>
      </c>
      <c r="I19" s="73"/>
    </row>
    <row r="20">
      <c r="A20" s="73"/>
      <c r="B20" s="73"/>
      <c r="C20" s="73"/>
      <c r="D20" s="58"/>
      <c r="E20" s="48" t="str">
        <f t="shared" si="1"/>
        <v/>
      </c>
      <c r="F20" s="73"/>
      <c r="G20" s="73"/>
      <c r="H20" s="72" t="str">
        <f t="shared" si="3"/>
        <v/>
      </c>
      <c r="I20" s="73"/>
    </row>
    <row r="21" ht="15.75" customHeight="1">
      <c r="A21" s="73"/>
      <c r="B21" s="73"/>
      <c r="C21" s="73"/>
      <c r="D21" s="58"/>
      <c r="E21" s="48" t="str">
        <f t="shared" si="1"/>
        <v/>
      </c>
      <c r="F21" s="73"/>
      <c r="G21" s="73"/>
      <c r="H21" s="72" t="str">
        <f t="shared" si="3"/>
        <v/>
      </c>
      <c r="I21" s="73"/>
    </row>
    <row r="22" ht="15.75" customHeight="1">
      <c r="A22" s="73"/>
      <c r="B22" s="73"/>
      <c r="C22" s="73"/>
      <c r="D22" s="58"/>
      <c r="E22" s="48" t="str">
        <f t="shared" si="1"/>
        <v/>
      </c>
      <c r="F22" s="73"/>
      <c r="G22" s="73"/>
      <c r="H22" s="72" t="str">
        <f t="shared" si="3"/>
        <v/>
      </c>
      <c r="I22" s="73"/>
    </row>
    <row r="23" ht="15.75" customHeight="1">
      <c r="A23" s="73"/>
      <c r="B23" s="73"/>
      <c r="C23" s="73"/>
      <c r="D23" s="58"/>
      <c r="E23" s="48" t="str">
        <f t="shared" si="1"/>
        <v/>
      </c>
      <c r="F23" s="73"/>
      <c r="G23" s="73"/>
      <c r="H23" s="72" t="str">
        <f t="shared" si="3"/>
        <v/>
      </c>
      <c r="I23" s="73"/>
    </row>
    <row r="24" ht="15.75" customHeight="1">
      <c r="A24" s="73"/>
      <c r="B24" s="73"/>
      <c r="C24" s="73"/>
      <c r="D24" s="58"/>
      <c r="E24" s="48" t="str">
        <f t="shared" si="1"/>
        <v/>
      </c>
      <c r="F24" s="73"/>
      <c r="G24" s="73"/>
      <c r="H24" s="72" t="str">
        <f t="shared" si="3"/>
        <v/>
      </c>
      <c r="I24" s="73"/>
    </row>
    <row r="25" ht="15.75" customHeight="1"/>
    <row r="26" ht="15.75" customHeight="1">
      <c r="A26" s="2" t="s">
        <v>257</v>
      </c>
    </row>
    <row r="27" ht="15.75" customHeight="1">
      <c r="A27" s="2" t="s">
        <v>258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5:H24">
    <cfRule type="cellIs" dxfId="0" priority="1" operator="equal">
      <formula>"APROBADO"</formula>
    </cfRule>
  </conditionalFormatting>
  <conditionalFormatting sqref="H5:H24">
    <cfRule type="cellIs" dxfId="1" priority="2" operator="equal">
      <formula>"FALLIDO"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2.0"/>
    <col customWidth="1" min="2" max="2" width="52.0"/>
    <col customWidth="1" min="3" max="3" width="22.0"/>
    <col customWidth="1" min="4" max="4" width="14.0"/>
    <col customWidth="1" min="5" max="5" width="11.0"/>
    <col customWidth="1" min="6" max="6" width="26.0"/>
    <col customWidth="1" min="7" max="7" width="11.0"/>
    <col customWidth="1" min="8" max="8" width="18.0"/>
    <col customWidth="1" min="9" max="9" width="26.0"/>
    <col customWidth="1" min="10" max="10" width="14.0"/>
    <col customWidth="1" min="11" max="11" width="16.0"/>
    <col customWidth="1" min="12" max="26" width="8.71"/>
  </cols>
  <sheetData>
    <row r="1">
      <c r="A1" s="1" t="s">
        <v>374</v>
      </c>
    </row>
    <row r="2">
      <c r="A2" s="2" t="s">
        <v>375</v>
      </c>
    </row>
    <row r="4" ht="31.5" customHeight="1">
      <c r="A4" s="4" t="s">
        <v>3</v>
      </c>
      <c r="B4" s="4" t="s">
        <v>5</v>
      </c>
      <c r="C4" s="4" t="s">
        <v>6</v>
      </c>
      <c r="D4" s="4" t="s">
        <v>8</v>
      </c>
      <c r="E4" s="4" t="s">
        <v>9</v>
      </c>
      <c r="F4" s="4" t="s">
        <v>380</v>
      </c>
      <c r="G4" s="4" t="s">
        <v>382</v>
      </c>
      <c r="H4" s="4" t="s">
        <v>385</v>
      </c>
      <c r="I4" s="4" t="s">
        <v>386</v>
      </c>
      <c r="J4" s="4" t="s">
        <v>387</v>
      </c>
      <c r="K4" s="4" t="s">
        <v>388</v>
      </c>
    </row>
    <row r="5">
      <c r="A5" s="72" t="str">
        <f>IF(Requisitos!A5="","",Requisitos!A5)</f>
        <v>RF-01</v>
      </c>
      <c r="B5" s="62" t="str">
        <f>IF($A5="","",Requisitos!B5)</f>
        <v>Iniciar y cerrar sesión con credenciales; la sesión expira por inactividad</v>
      </c>
      <c r="C5" s="76" t="str">
        <f>IF($A5="","",Requisitos!C5)</f>
        <v>Autenticación y roles</v>
      </c>
      <c r="D5" s="76" t="str">
        <f>IF($A5="","",Requisitos!D5)</f>
        <v>Funcional</v>
      </c>
      <c r="E5" s="76" t="str">
        <f>IF($A5="","",Requisitos!E5)</f>
        <v>Alta</v>
      </c>
      <c r="F5" s="47"/>
      <c r="G5" s="72">
        <f>IF($A5="","",COUNTIF(Catalogo!$B$5:$B$104,$A5))</f>
        <v>1</v>
      </c>
      <c r="H5" s="72" t="str">
        <f t="shared" ref="H5:H60" si="1">IF($A5="","",IF(G5=0,"SIN COBERTURA","Cubierto"))</f>
        <v>Cubierto</v>
      </c>
      <c r="I5" s="47"/>
      <c r="J5" s="72" t="str">
        <f>IF($A5="","",IF(G5=0,"Sin casos",IF(COUNTIFS(Catalogo!$B$5:$B$104,$A5,Catalogo!$M$5:$M$104,"FALLIDO")&gt;0,"Fallido",IF(COUNTIFS(Catalogo!$B$5:$B$104,$A5,Catalogo!$M$5:$M$104,"APROBADO")=G5,"Aprobado","Pendiente"))))</f>
        <v>Pendiente</v>
      </c>
      <c r="K5" s="73"/>
    </row>
    <row r="6">
      <c r="A6" s="72" t="str">
        <f>IF(Requisitos!A6="","",Requisitos!A6)</f>
        <v>RF-02</v>
      </c>
      <c r="B6" s="62" t="str">
        <f>IF($A6="","",Requisitos!B6)</f>
        <v>Gestionar usuarios: crear, editar, desactivar y asignar uno de los cuatro roles</v>
      </c>
      <c r="C6" s="76" t="str">
        <f>IF($A6="","",Requisitos!C6)</f>
        <v>Autenticación y roles</v>
      </c>
      <c r="D6" s="76" t="str">
        <f>IF($A6="","",Requisitos!D6)</f>
        <v>Funcional</v>
      </c>
      <c r="E6" s="76" t="str">
        <f>IF($A6="","",Requisitos!E6)</f>
        <v>Alta</v>
      </c>
      <c r="F6" s="47"/>
      <c r="G6" s="72">
        <f>IF($A6="","",COUNTIF(Catalogo!$B$5:$B$104,$A6))</f>
        <v>1</v>
      </c>
      <c r="H6" s="72" t="str">
        <f t="shared" si="1"/>
        <v>Cubierto</v>
      </c>
      <c r="I6" s="47"/>
      <c r="J6" s="72" t="str">
        <f>IF($A6="","",IF(G6=0,"Sin casos",IF(COUNTIFS(Catalogo!$B$5:$B$104,$A6,Catalogo!$M$5:$M$104,"FALLIDO")&gt;0,"Fallido",IF(COUNTIFS(Catalogo!$B$5:$B$104,$A6,Catalogo!$M$5:$M$104,"APROBADO")=G6,"Aprobado","Pendiente"))))</f>
        <v>Pendiente</v>
      </c>
      <c r="K6" s="73"/>
    </row>
    <row r="7">
      <c r="A7" s="72" t="str">
        <f>IF(Requisitos!A7="","",Requisitos!A7)</f>
        <v>RF-03</v>
      </c>
      <c r="B7" s="62" t="str">
        <f>IF($A7="","",Requisitos!B7)</f>
        <v>Controlar el acceso por rol a pantallas y endpoints (403 sin permiso)</v>
      </c>
      <c r="C7" s="76" t="str">
        <f>IF($A7="","",Requisitos!C7)</f>
        <v>Autenticación y roles</v>
      </c>
      <c r="D7" s="76" t="str">
        <f>IF($A7="","",Requisitos!D7)</f>
        <v>Funcional</v>
      </c>
      <c r="E7" s="76" t="str">
        <f>IF($A7="","",Requisitos!E7)</f>
        <v>Alta</v>
      </c>
      <c r="F7" s="47"/>
      <c r="G7" s="72">
        <f>IF($A7="","",COUNTIF(Catalogo!$B$5:$B$104,$A7))</f>
        <v>1</v>
      </c>
      <c r="H7" s="72" t="str">
        <f t="shared" si="1"/>
        <v>Cubierto</v>
      </c>
      <c r="I7" s="47"/>
      <c r="J7" s="72" t="str">
        <f>IF($A7="","",IF(G7=0,"Sin casos",IF(COUNTIFS(Catalogo!$B$5:$B$104,$A7,Catalogo!$M$5:$M$104,"FALLIDO")&gt;0,"Fallido",IF(COUNTIFS(Catalogo!$B$5:$B$104,$A7,Catalogo!$M$5:$M$104,"APROBADO")=G7,"Aprobado","Pendiente"))))</f>
        <v>Pendiente</v>
      </c>
      <c r="K7" s="73"/>
    </row>
    <row r="8">
      <c r="A8" s="72" t="str">
        <f>IF(Requisitos!A8="","",Requisitos!A8)</f>
        <v>RF-04</v>
      </c>
      <c r="B8" s="62" t="str">
        <f>IF($A8="","",Requisitos!B8)</f>
        <v>CRUD de los 3 productos con código, nombre, categoría y unidad</v>
      </c>
      <c r="C8" s="76" t="str">
        <f>IF($A8="","",Requisitos!C8)</f>
        <v>Gestión de datos</v>
      </c>
      <c r="D8" s="76" t="str">
        <f>IF($A8="","",Requisitos!D8)</f>
        <v>Funcional</v>
      </c>
      <c r="E8" s="76" t="str">
        <f>IF($A8="","",Requisitos!E8)</f>
        <v>Alta</v>
      </c>
      <c r="F8" s="47"/>
      <c r="G8" s="72">
        <f>IF($A8="","",COUNTIF(Catalogo!$B$5:$B$104,$A8))</f>
        <v>1</v>
      </c>
      <c r="H8" s="72" t="str">
        <f t="shared" si="1"/>
        <v>Cubierto</v>
      </c>
      <c r="I8" s="47"/>
      <c r="J8" s="72" t="str">
        <f>IF($A8="","",IF(G8=0,"Sin casos",IF(COUNTIFS(Catalogo!$B$5:$B$104,$A8,Catalogo!$M$5:$M$104,"FALLIDO")&gt;0,"Fallido",IF(COUNTIFS(Catalogo!$B$5:$B$104,$A8,Catalogo!$M$5:$M$104,"APROBADO")=G8,"Aprobado","Pendiente"))))</f>
        <v>Pendiente</v>
      </c>
      <c r="K8" s="73"/>
    </row>
    <row r="9">
      <c r="A9" s="72" t="str">
        <f>IF(Requisitos!A9="","",Requisitos!A9)</f>
        <v>RF-05</v>
      </c>
      <c r="B9" s="62" t="str">
        <f>IF($A9="","",Requisitos!B9)</f>
        <v>Registrar manualmente producción y demanda por producto y mes, sin duplicar producto-período</v>
      </c>
      <c r="C9" s="76" t="str">
        <f>IF($A9="","",Requisitos!C9)</f>
        <v>Gestión de datos</v>
      </c>
      <c r="D9" s="76" t="str">
        <f>IF($A9="","",Requisitos!D9)</f>
        <v>Funcional</v>
      </c>
      <c r="E9" s="76" t="str">
        <f>IF($A9="","",Requisitos!E9)</f>
        <v>Alta</v>
      </c>
      <c r="F9" s="47"/>
      <c r="G9" s="72">
        <f>IF($A9="","",COUNTIF(Catalogo!$B$5:$B$104,$A9))</f>
        <v>1</v>
      </c>
      <c r="H9" s="72" t="str">
        <f t="shared" si="1"/>
        <v>Cubierto</v>
      </c>
      <c r="I9" s="47"/>
      <c r="J9" s="72" t="str">
        <f>IF($A9="","",IF(G9=0,"Sin casos",IF(COUNTIFS(Catalogo!$B$5:$B$104,$A9,Catalogo!$M$5:$M$104,"FALLIDO")&gt;0,"Fallido",IF(COUNTIFS(Catalogo!$B$5:$B$104,$A9,Catalogo!$M$5:$M$104,"APROBADO")=G9,"Aprobado","Pendiente"))))</f>
        <v>Pendiente</v>
      </c>
      <c r="K9" s="73"/>
    </row>
    <row r="10">
      <c r="A10" s="72" t="str">
        <f>IF(Requisitos!A10="","",Requisitos!A10)</f>
        <v>RF-06</v>
      </c>
      <c r="B10" s="62" t="str">
        <f>IF($A10="","",Requisitos!B10)</f>
        <v>Cargar el histórico desde CSV o Excel (24 períodos) informando filas cargadas y rechazadas</v>
      </c>
      <c r="C10" s="76" t="str">
        <f>IF($A10="","",Requisitos!C10)</f>
        <v>Gestión de datos</v>
      </c>
      <c r="D10" s="76" t="str">
        <f>IF($A10="","",Requisitos!D10)</f>
        <v>Funcional</v>
      </c>
      <c r="E10" s="76" t="str">
        <f>IF($A10="","",Requisitos!E10)</f>
        <v>Alta</v>
      </c>
      <c r="F10" s="47"/>
      <c r="G10" s="72">
        <f>IF($A10="","",COUNTIF(Catalogo!$B$5:$B$104,$A10))</f>
        <v>1</v>
      </c>
      <c r="H10" s="72" t="str">
        <f t="shared" si="1"/>
        <v>Cubierto</v>
      </c>
      <c r="I10" s="47"/>
      <c r="J10" s="72" t="str">
        <f>IF($A10="","",IF(G10=0,"Sin casos",IF(COUNTIFS(Catalogo!$B$5:$B$104,$A10,Catalogo!$M$5:$M$104,"FALLIDO")&gt;0,"Fallido",IF(COUNTIFS(Catalogo!$B$5:$B$104,$A10,Catalogo!$M$5:$M$104,"APROBADO")=G10,"Aprobado","Pendiente"))))</f>
        <v>Pendiente</v>
      </c>
      <c r="K10" s="73"/>
    </row>
    <row r="11">
      <c r="A11" s="72" t="str">
        <f>IF(Requisitos!A11="","",Requisitos!A11)</f>
        <v>RF-07</v>
      </c>
      <c r="B11" s="62" t="str">
        <f>IF($A11="","",Requisitos!B11)</f>
        <v>Detectar atípicos y faltantes y permitir corregirlos o imputarlos conservando el original</v>
      </c>
      <c r="C11" s="76" t="str">
        <f>IF($A11="","",Requisitos!C11)</f>
        <v>Gestión de datos</v>
      </c>
      <c r="D11" s="76" t="str">
        <f>IF($A11="","",Requisitos!D11)</f>
        <v>Funcional</v>
      </c>
      <c r="E11" s="76" t="str">
        <f>IF($A11="","",Requisitos!E11)</f>
        <v>Media</v>
      </c>
      <c r="F11" s="47"/>
      <c r="G11" s="72">
        <f>IF($A11="","",COUNTIF(Catalogo!$B$5:$B$104,$A11))</f>
        <v>1</v>
      </c>
      <c r="H11" s="72" t="str">
        <f t="shared" si="1"/>
        <v>Cubierto</v>
      </c>
      <c r="I11" s="47"/>
      <c r="J11" s="72" t="str">
        <f>IF($A11="","",IF(G11=0,"Sin casos",IF(COUNTIFS(Catalogo!$B$5:$B$104,$A11,Catalogo!$M$5:$M$104,"FALLIDO")&gt;0,"Fallido",IF(COUNTIFS(Catalogo!$B$5:$B$104,$A11,Catalogo!$M$5:$M$104,"APROBADO")=G11,"Aprobado","Pendiente"))))</f>
        <v>Pendiente</v>
      </c>
      <c r="K11" s="73"/>
    </row>
    <row r="12">
      <c r="A12" s="72" t="str">
        <f>IF(Requisitos!A12="","",Requisitos!A12)</f>
        <v>RF-08</v>
      </c>
      <c r="B12" s="62" t="str">
        <f>IF($A12="","",Requisitos!B12)</f>
        <v>Registrar la capacidad disponible por centro de trabajo y período</v>
      </c>
      <c r="C12" s="76" t="str">
        <f>IF($A12="","",Requisitos!C12)</f>
        <v>Gestión de datos</v>
      </c>
      <c r="D12" s="76" t="str">
        <f>IF($A12="","",Requisitos!D12)</f>
        <v>Funcional</v>
      </c>
      <c r="E12" s="76" t="str">
        <f>IF($A12="","",Requisitos!E12)</f>
        <v>Media</v>
      </c>
      <c r="F12" s="47"/>
      <c r="G12" s="72">
        <f>IF($A12="","",COUNTIF(Catalogo!$B$5:$B$104,$A12))</f>
        <v>1</v>
      </c>
      <c r="H12" s="72" t="str">
        <f t="shared" si="1"/>
        <v>Cubierto</v>
      </c>
      <c r="I12" s="47"/>
      <c r="J12" s="72" t="str">
        <f>IF($A12="","",IF(G12=0,"Sin casos",IF(COUNTIFS(Catalogo!$B$5:$B$104,$A12,Catalogo!$M$5:$M$104,"FALLIDO")&gt;0,"Fallido",IF(COUNTIFS(Catalogo!$B$5:$B$104,$A12,Catalogo!$M$5:$M$104,"APROBADO")=G12,"Aprobado","Pendiente"))))</f>
        <v>Pendiente</v>
      </c>
      <c r="K12" s="73"/>
    </row>
    <row r="13">
      <c r="A13" s="72" t="str">
        <f>IF(Requisitos!A13="","",Requisitos!A13)</f>
        <v>RF-09</v>
      </c>
      <c r="B13" s="62" t="str">
        <f>IF($A13="","",Requisitos!B13)</f>
        <v>Visualizar el histórico en tabla y gráfico de líneas con filtros por producto y rango</v>
      </c>
      <c r="C13" s="76" t="str">
        <f>IF($A13="","",Requisitos!C13)</f>
        <v>Gestión de datos</v>
      </c>
      <c r="D13" s="76" t="str">
        <f>IF($A13="","",Requisitos!D13)</f>
        <v>Funcional</v>
      </c>
      <c r="E13" s="76" t="str">
        <f>IF($A13="","",Requisitos!E13)</f>
        <v>Alta</v>
      </c>
      <c r="F13" s="47"/>
      <c r="G13" s="72">
        <f>IF($A13="","",COUNTIF(Catalogo!$B$5:$B$104,$A13))</f>
        <v>1</v>
      </c>
      <c r="H13" s="72" t="str">
        <f t="shared" si="1"/>
        <v>Cubierto</v>
      </c>
      <c r="I13" s="47"/>
      <c r="J13" s="72" t="str">
        <f>IF($A13="","",IF(G13=0,"Sin casos",IF(COUNTIFS(Catalogo!$B$5:$B$104,$A13,Catalogo!$M$5:$M$104,"FALLIDO")&gt;0,"Fallido",IF(COUNTIFS(Catalogo!$B$5:$B$104,$A13,Catalogo!$M$5:$M$104,"APROBADO")=G13,"Aprobado","Pendiente"))))</f>
        <v>Pendiente</v>
      </c>
      <c r="K13" s="73"/>
    </row>
    <row r="14">
      <c r="A14" s="72" t="str">
        <f>IF(Requisitos!A14="","",Requisitos!A14)</f>
        <v>RF-10</v>
      </c>
      <c r="B14" s="62" t="str">
        <f>IF($A14="","",Requisitos!B14)</f>
        <v>Configurar parámetros por modelo (n, pesos, α, β, horizonte) validando rangos</v>
      </c>
      <c r="C14" s="76" t="str">
        <f>IF($A14="","",Requisitos!C14)</f>
        <v>Pronóstico</v>
      </c>
      <c r="D14" s="76" t="str">
        <f>IF($A14="","",Requisitos!D14)</f>
        <v>Funcional</v>
      </c>
      <c r="E14" s="76" t="str">
        <f>IF($A14="","",Requisitos!E14)</f>
        <v>Alta</v>
      </c>
      <c r="F14" s="47"/>
      <c r="G14" s="72">
        <f>IF($A14="","",COUNTIF(Catalogo!$B$5:$B$104,$A14))</f>
        <v>1</v>
      </c>
      <c r="H14" s="72" t="str">
        <f t="shared" si="1"/>
        <v>Cubierto</v>
      </c>
      <c r="I14" s="47"/>
      <c r="J14" s="72" t="str">
        <f>IF($A14="","",IF(G14=0,"Sin casos",IF(COUNTIFS(Catalogo!$B$5:$B$104,$A14,Catalogo!$M$5:$M$104,"FALLIDO")&gt;0,"Fallido",IF(COUNTIFS(Catalogo!$B$5:$B$104,$A14,Catalogo!$M$5:$M$104,"APROBADO")=G14,"Aprobado","Pendiente"))))</f>
        <v>Pendiente</v>
      </c>
      <c r="K14" s="73"/>
    </row>
    <row r="15">
      <c r="A15" s="72" t="str">
        <f>IF(Requisitos!A15="","",Requisitos!A15)</f>
        <v>RF-11</v>
      </c>
      <c r="B15" s="62" t="str">
        <f>IF($A15="","",Requisitos!B15)</f>
        <v>Ejecutar promedio móvil simple</v>
      </c>
      <c r="C15" s="76" t="str">
        <f>IF($A15="","",Requisitos!C15)</f>
        <v>Pronóstico</v>
      </c>
      <c r="D15" s="76" t="str">
        <f>IF($A15="","",Requisitos!D15)</f>
        <v>Funcional</v>
      </c>
      <c r="E15" s="76" t="str">
        <f>IF($A15="","",Requisitos!E15)</f>
        <v>Alta</v>
      </c>
      <c r="F15" s="47"/>
      <c r="G15" s="72">
        <f>IF($A15="","",COUNTIF(Catalogo!$B$5:$B$104,$A15))</f>
        <v>2</v>
      </c>
      <c r="H15" s="72" t="str">
        <f t="shared" si="1"/>
        <v>Cubierto</v>
      </c>
      <c r="I15" s="47"/>
      <c r="J15" s="72" t="str">
        <f>IF($A15="","",IF(G15=0,"Sin casos",IF(COUNTIFS(Catalogo!$B$5:$B$104,$A15,Catalogo!$M$5:$M$104,"FALLIDO")&gt;0,"Fallido",IF(COUNTIFS(Catalogo!$B$5:$B$104,$A15,Catalogo!$M$5:$M$104,"APROBADO")=G15,"Aprobado","Pendiente"))))</f>
        <v>Pendiente</v>
      </c>
      <c r="K15" s="73"/>
    </row>
    <row r="16">
      <c r="A16" s="72" t="str">
        <f>IF(Requisitos!A16="","",Requisitos!A16)</f>
        <v>RF-12</v>
      </c>
      <c r="B16" s="62" t="str">
        <f>IF($A16="","",Requisitos!B16)</f>
        <v>Ejecutar promedio móvil ponderado</v>
      </c>
      <c r="C16" s="76" t="str">
        <f>IF($A16="","",Requisitos!C16)</f>
        <v>Pronóstico</v>
      </c>
      <c r="D16" s="76" t="str">
        <f>IF($A16="","",Requisitos!D16)</f>
        <v>Funcional</v>
      </c>
      <c r="E16" s="76" t="str">
        <f>IF($A16="","",Requisitos!E16)</f>
        <v>Alta</v>
      </c>
      <c r="F16" s="47"/>
      <c r="G16" s="72">
        <f>IF($A16="","",COUNTIF(Catalogo!$B$5:$B$104,$A16))</f>
        <v>1</v>
      </c>
      <c r="H16" s="72" t="str">
        <f t="shared" si="1"/>
        <v>Cubierto</v>
      </c>
      <c r="I16" s="47"/>
      <c r="J16" s="72" t="str">
        <f>IF($A16="","",IF(G16=0,"Sin casos",IF(COUNTIFS(Catalogo!$B$5:$B$104,$A16,Catalogo!$M$5:$M$104,"FALLIDO")&gt;0,"Fallido",IF(COUNTIFS(Catalogo!$B$5:$B$104,$A16,Catalogo!$M$5:$M$104,"APROBADO")=G16,"Aprobado","Pendiente"))))</f>
        <v>Pendiente</v>
      </c>
      <c r="K16" s="73"/>
    </row>
    <row r="17">
      <c r="A17" s="72" t="str">
        <f>IF(Requisitos!A17="","",Requisitos!A17)</f>
        <v>RF-13</v>
      </c>
      <c r="B17" s="62" t="str">
        <f>IF($A17="","",Requisitos!B17)</f>
        <v>Ejecutar suavización exponencial simple</v>
      </c>
      <c r="C17" s="76" t="str">
        <f>IF($A17="","",Requisitos!C17)</f>
        <v>Pronóstico</v>
      </c>
      <c r="D17" s="76" t="str">
        <f>IF($A17="","",Requisitos!D17)</f>
        <v>Funcional</v>
      </c>
      <c r="E17" s="76" t="str">
        <f>IF($A17="","",Requisitos!E17)</f>
        <v>Alta</v>
      </c>
      <c r="F17" s="47"/>
      <c r="G17" s="72">
        <f>IF($A17="","",COUNTIF(Catalogo!$B$5:$B$104,$A17))</f>
        <v>1</v>
      </c>
      <c r="H17" s="72" t="str">
        <f t="shared" si="1"/>
        <v>Cubierto</v>
      </c>
      <c r="I17" s="47"/>
      <c r="J17" s="72" t="str">
        <f>IF($A17="","",IF(G17=0,"Sin casos",IF(COUNTIFS(Catalogo!$B$5:$B$104,$A17,Catalogo!$M$5:$M$104,"FALLIDO")&gt;0,"Fallido",IF(COUNTIFS(Catalogo!$B$5:$B$104,$A17,Catalogo!$M$5:$M$104,"APROBADO")=G17,"Aprobado","Pendiente"))))</f>
        <v>Pendiente</v>
      </c>
      <c r="K17" s="73"/>
    </row>
    <row r="18">
      <c r="A18" s="72" t="str">
        <f>IF(Requisitos!A18="","",Requisitos!A18)</f>
        <v>RF-14</v>
      </c>
      <c r="B18" s="62" t="str">
        <f>IF($A18="","",Requisitos!B18)</f>
        <v>Ejecutar suavización exponencial con tendencia (Holt)</v>
      </c>
      <c r="C18" s="76" t="str">
        <f>IF($A18="","",Requisitos!C18)</f>
        <v>Pronóstico</v>
      </c>
      <c r="D18" s="76" t="str">
        <f>IF($A18="","",Requisitos!D18)</f>
        <v>Funcional</v>
      </c>
      <c r="E18" s="76" t="str">
        <f>IF($A18="","",Requisitos!E18)</f>
        <v>Alta</v>
      </c>
      <c r="F18" s="47"/>
      <c r="G18" s="72">
        <f>IF($A18="","",COUNTIF(Catalogo!$B$5:$B$104,$A18))</f>
        <v>1</v>
      </c>
      <c r="H18" s="72" t="str">
        <f t="shared" si="1"/>
        <v>Cubierto</v>
      </c>
      <c r="I18" s="47"/>
      <c r="J18" s="72" t="str">
        <f>IF($A18="","",IF(G18=0,"Sin casos",IF(COUNTIFS(Catalogo!$B$5:$B$104,$A18,Catalogo!$M$5:$M$104,"FALLIDO")&gt;0,"Fallido",IF(COUNTIFS(Catalogo!$B$5:$B$104,$A18,Catalogo!$M$5:$M$104,"APROBADO")=G18,"Aprobado","Pendiente"))))</f>
        <v>Pendiente</v>
      </c>
      <c r="K18" s="73"/>
    </row>
    <row r="19">
      <c r="A19" s="72" t="str">
        <f>IF(Requisitos!A19="","",Requisitos!A19)</f>
        <v>RF-15</v>
      </c>
      <c r="B19" s="62" t="str">
        <f>IF($A19="","",Requisitos!B19)</f>
        <v>Ejecutar regresión lineal por mínimos cuadrados (pendiente, intercepto y pronóstico)</v>
      </c>
      <c r="C19" s="76" t="str">
        <f>IF($A19="","",Requisitos!C19)</f>
        <v>Pronóstico</v>
      </c>
      <c r="D19" s="76" t="str">
        <f>IF($A19="","",Requisitos!D19)</f>
        <v>Funcional</v>
      </c>
      <c r="E19" s="76" t="str">
        <f>IF($A19="","",Requisitos!E19)</f>
        <v>Alta</v>
      </c>
      <c r="F19" s="47"/>
      <c r="G19" s="72">
        <f>IF($A19="","",COUNTIF(Catalogo!$B$5:$B$104,$A19))</f>
        <v>1</v>
      </c>
      <c r="H19" s="72" t="str">
        <f t="shared" si="1"/>
        <v>Cubierto</v>
      </c>
      <c r="I19" s="47"/>
      <c r="J19" s="72" t="str">
        <f>IF($A19="","",IF(G19=0,"Sin casos",IF(COUNTIFS(Catalogo!$B$5:$B$104,$A19,Catalogo!$M$5:$M$104,"FALLIDO")&gt;0,"Fallido",IF(COUNTIFS(Catalogo!$B$5:$B$104,$A19,Catalogo!$M$5:$M$104,"APROBADO")=G19,"Aprobado","Pendiente"))))</f>
        <v>Pendiente</v>
      </c>
      <c r="K19" s="73"/>
    </row>
    <row r="20">
      <c r="A20" s="72" t="str">
        <f>IF(Requisitos!A20="","",Requisitos!A20)</f>
        <v>RF-16</v>
      </c>
      <c r="B20" s="62" t="str">
        <f>IF($A20="","",Requisitos!B20)</f>
        <v>Ejecutar el método estacional multiplicativo con sus 12 índices</v>
      </c>
      <c r="C20" s="76" t="str">
        <f>IF($A20="","",Requisitos!C20)</f>
        <v>Pronóstico</v>
      </c>
      <c r="D20" s="76" t="str">
        <f>IF($A20="","",Requisitos!D20)</f>
        <v>Funcional</v>
      </c>
      <c r="E20" s="76" t="str">
        <f>IF($A20="","",Requisitos!E20)</f>
        <v>Alta</v>
      </c>
      <c r="F20" s="47"/>
      <c r="G20" s="72">
        <f>IF($A20="","",COUNTIF(Catalogo!$B$5:$B$104,$A20))</f>
        <v>1</v>
      </c>
      <c r="H20" s="72" t="str">
        <f t="shared" si="1"/>
        <v>Cubierto</v>
      </c>
      <c r="I20" s="47"/>
      <c r="J20" s="72" t="str">
        <f>IF($A20="","",IF(G20=0,"Sin casos",IF(COUNTIFS(Catalogo!$B$5:$B$104,$A20,Catalogo!$M$5:$M$104,"FALLIDO")&gt;0,"Fallido",IF(COUNTIFS(Catalogo!$B$5:$B$104,$A20,Catalogo!$M$5:$M$104,"APROBADO")=G20,"Aprobado","Pendiente"))))</f>
        <v>Pendiente</v>
      </c>
      <c r="K20" s="73"/>
    </row>
    <row r="21" ht="15.75" customHeight="1">
      <c r="A21" s="72" t="str">
        <f>IF(Requisitos!A21="","",Requisitos!A21)</f>
        <v>RF-17</v>
      </c>
      <c r="B21" s="62" t="str">
        <f>IF($A21="","",Requisitos!B21)</f>
        <v>Calcular MAD, MAPE, sesgo y señal de rastreo por modelo y producto</v>
      </c>
      <c r="C21" s="76" t="str">
        <f>IF($A21="","",Requisitos!C21)</f>
        <v>Pronóstico</v>
      </c>
      <c r="D21" s="76" t="str">
        <f>IF($A21="","",Requisitos!D21)</f>
        <v>Funcional</v>
      </c>
      <c r="E21" s="76" t="str">
        <f>IF($A21="","",Requisitos!E21)</f>
        <v>Alta</v>
      </c>
      <c r="F21" s="47"/>
      <c r="G21" s="72">
        <f>IF($A21="","",COUNTIF(Catalogo!$B$5:$B$104,$A21))</f>
        <v>4</v>
      </c>
      <c r="H21" s="72" t="str">
        <f t="shared" si="1"/>
        <v>Cubierto</v>
      </c>
      <c r="I21" s="47"/>
      <c r="J21" s="72" t="str">
        <f>IF($A21="","",IF(G21=0,"Sin casos",IF(COUNTIFS(Catalogo!$B$5:$B$104,$A21,Catalogo!$M$5:$M$104,"FALLIDO")&gt;0,"Fallido",IF(COUNTIFS(Catalogo!$B$5:$B$104,$A21,Catalogo!$M$5:$M$104,"APROBADO")=G21,"Aprobado","Pendiente"))))</f>
        <v>Pendiente</v>
      </c>
      <c r="K21" s="73"/>
    </row>
    <row r="22" ht="15.75" customHeight="1">
      <c r="A22" s="72" t="str">
        <f>IF(Requisitos!A22="","",Requisitos!A22)</f>
        <v>RF-18</v>
      </c>
      <c r="B22" s="62" t="str">
        <f>IF($A22="","",Requisitos!B22)</f>
        <v>Comparar los 6 modelos sobre un producto e indicar el de menor MAPE</v>
      </c>
      <c r="C22" s="76" t="str">
        <f>IF($A22="","",Requisitos!C22)</f>
        <v>Pronóstico</v>
      </c>
      <c r="D22" s="76" t="str">
        <f>IF($A22="","",Requisitos!D22)</f>
        <v>Funcional</v>
      </c>
      <c r="E22" s="76" t="str">
        <f>IF($A22="","",Requisitos!E22)</f>
        <v>Alta</v>
      </c>
      <c r="F22" s="47"/>
      <c r="G22" s="72">
        <f>IF($A22="","",COUNTIF(Catalogo!$B$5:$B$104,$A22))</f>
        <v>1</v>
      </c>
      <c r="H22" s="72" t="str">
        <f t="shared" si="1"/>
        <v>Cubierto</v>
      </c>
      <c r="I22" s="47"/>
      <c r="J22" s="72" t="str">
        <f>IF($A22="","",IF(G22=0,"Sin casos",IF(COUNTIFS(Catalogo!$B$5:$B$104,$A22,Catalogo!$M$5:$M$104,"FALLIDO")&gt;0,"Fallido",IF(COUNTIFS(Catalogo!$B$5:$B$104,$A22,Catalogo!$M$5:$M$104,"APROBADO")=G22,"Aprobado","Pendiente"))))</f>
        <v>Pendiente</v>
      </c>
      <c r="K22" s="73"/>
    </row>
    <row r="23" ht="15.75" customHeight="1">
      <c r="A23" s="72" t="str">
        <f>IF(Requisitos!A23="","",Requisitos!A23)</f>
        <v>RF-19</v>
      </c>
      <c r="B23" s="62" t="str">
        <f>IF($A23="","",Requisitos!B23)</f>
        <v>Guardar el historial de ejecuciones (parámetros, resultados, fecha y usuario)</v>
      </c>
      <c r="C23" s="76" t="str">
        <f>IF($A23="","",Requisitos!C23)</f>
        <v>Pronóstico</v>
      </c>
      <c r="D23" s="76" t="str">
        <f>IF($A23="","",Requisitos!D23)</f>
        <v>Funcional</v>
      </c>
      <c r="E23" s="76" t="str">
        <f>IF($A23="","",Requisitos!E23)</f>
        <v>Media</v>
      </c>
      <c r="F23" s="47"/>
      <c r="G23" s="72">
        <f>IF($A23="","",COUNTIF(Catalogo!$B$5:$B$104,$A23))</f>
        <v>1</v>
      </c>
      <c r="H23" s="72" t="str">
        <f t="shared" si="1"/>
        <v>Cubierto</v>
      </c>
      <c r="I23" s="47"/>
      <c r="J23" s="72" t="str">
        <f>IF($A23="","",IF(G23=0,"Sin casos",IF(COUNTIFS(Catalogo!$B$5:$B$104,$A23,Catalogo!$M$5:$M$104,"FALLIDO")&gt;0,"Fallido",IF(COUNTIFS(Catalogo!$B$5:$B$104,$A23,Catalogo!$M$5:$M$104,"APROBADO")=G23,"Aprobado","Pendiente"))))</f>
        <v>Pendiente</v>
      </c>
      <c r="K23" s="73"/>
    </row>
    <row r="24" ht="15.75" customHeight="1">
      <c r="A24" s="72" t="str">
        <f>IF(Requisitos!A24="","",Requisitos!A24)</f>
        <v>RF-20</v>
      </c>
      <c r="B24" s="62" t="str">
        <f>IF($A24="","",Requisitos!B24)</f>
        <v>Tablero de exactitud con MAD y MAPE por producto y método</v>
      </c>
      <c r="C24" s="76" t="str">
        <f>IF($A24="","",Requisitos!C24)</f>
        <v>Indicadores y reportes</v>
      </c>
      <c r="D24" s="76" t="str">
        <f>IF($A24="","",Requisitos!D24)</f>
        <v>Funcional</v>
      </c>
      <c r="E24" s="76" t="str">
        <f>IF($A24="","",Requisitos!E24)</f>
        <v>Alta</v>
      </c>
      <c r="F24" s="47"/>
      <c r="G24" s="72">
        <f>IF($A24="","",COUNTIF(Catalogo!$B$5:$B$104,$A24))</f>
        <v>1</v>
      </c>
      <c r="H24" s="72" t="str">
        <f t="shared" si="1"/>
        <v>Cubierto</v>
      </c>
      <c r="I24" s="47"/>
      <c r="J24" s="72" t="str">
        <f>IF($A24="","",IF(G24=0,"Sin casos",IF(COUNTIFS(Catalogo!$B$5:$B$104,$A24,Catalogo!$M$5:$M$104,"FALLIDO")&gt;0,"Fallido",IF(COUNTIFS(Catalogo!$B$5:$B$104,$A24,Catalogo!$M$5:$M$104,"APROBADO")=G24,"Aprobado","Pendiente"))))</f>
        <v>Pendiente</v>
      </c>
      <c r="K24" s="73"/>
    </row>
    <row r="25" ht="15.75" customHeight="1">
      <c r="A25" s="72" t="str">
        <f>IF(Requisitos!A25="","",Requisitos!A25)</f>
        <v>RF-21</v>
      </c>
      <c r="B25" s="62" t="str">
        <f>IF($A25="","",Requisitos!B25)</f>
        <v>Gráfico pronóstico vs. real por período y producto, con sesgo acumulado</v>
      </c>
      <c r="C25" s="76" t="str">
        <f>IF($A25="","",Requisitos!C25)</f>
        <v>Indicadores y reportes</v>
      </c>
      <c r="D25" s="76" t="str">
        <f>IF($A25="","",Requisitos!D25)</f>
        <v>Funcional</v>
      </c>
      <c r="E25" s="76" t="str">
        <f>IF($A25="","",Requisitos!E25)</f>
        <v>Alta</v>
      </c>
      <c r="F25" s="47"/>
      <c r="G25" s="72">
        <f>IF($A25="","",COUNTIF(Catalogo!$B$5:$B$104,$A25))</f>
        <v>1</v>
      </c>
      <c r="H25" s="72" t="str">
        <f t="shared" si="1"/>
        <v>Cubierto</v>
      </c>
      <c r="I25" s="47"/>
      <c r="J25" s="72" t="str">
        <f>IF($A25="","",IF(G25=0,"Sin casos",IF(COUNTIFS(Catalogo!$B$5:$B$104,$A25,Catalogo!$M$5:$M$104,"FALLIDO")&gt;0,"Fallido",IF(COUNTIFS(Catalogo!$B$5:$B$104,$A25,Catalogo!$M$5:$M$104,"APROBADO")=G25,"Aprobado","Pendiente"))))</f>
        <v>Pendiente</v>
      </c>
      <c r="K25" s="73"/>
    </row>
    <row r="26" ht="15.75" customHeight="1">
      <c r="A26" s="72" t="str">
        <f>IF(Requisitos!A26="","",Requisitos!A26)</f>
        <v>RF-22</v>
      </c>
      <c r="B26" s="62" t="str">
        <f>IF($A26="","",Requisitos!B26)</f>
        <v>Plan agregado frente a capacidad por centro, con sobrecarga y subutilización</v>
      </c>
      <c r="C26" s="76" t="str">
        <f>IF($A26="","",Requisitos!C26)</f>
        <v>Indicadores y reportes</v>
      </c>
      <c r="D26" s="76" t="str">
        <f>IF($A26="","",Requisitos!D26)</f>
        <v>Funcional</v>
      </c>
      <c r="E26" s="76" t="str">
        <f>IF($A26="","",Requisitos!E26)</f>
        <v>Media</v>
      </c>
      <c r="F26" s="47"/>
      <c r="G26" s="72">
        <f>IF($A26="","",COUNTIF(Catalogo!$B$5:$B$104,$A26))</f>
        <v>1</v>
      </c>
      <c r="H26" s="72" t="str">
        <f t="shared" si="1"/>
        <v>Cubierto</v>
      </c>
      <c r="I26" s="47"/>
      <c r="J26" s="72" t="str">
        <f>IF($A26="","",IF(G26=0,"Sin casos",IF(COUNTIFS(Catalogo!$B$5:$B$104,$A26,Catalogo!$M$5:$M$104,"FALLIDO")&gt;0,"Fallido",IF(COUNTIFS(Catalogo!$B$5:$B$104,$A26,Catalogo!$M$5:$M$104,"APROBADO")=G26,"Aprobado","Pendiente"))))</f>
        <v>Pendiente</v>
      </c>
      <c r="K26" s="73"/>
    </row>
    <row r="27" ht="15.75" customHeight="1">
      <c r="A27" s="72" t="str">
        <f>IF(Requisitos!A27="","",Requisitos!A27)</f>
        <v>RF-23</v>
      </c>
      <c r="B27" s="62" t="str">
        <f>IF($A27="","",Requisitos!B27)</f>
        <v>Alertas cuando el error supera un umbral configurable o la señal de rastreo sale de límites</v>
      </c>
      <c r="C27" s="76" t="str">
        <f>IF($A27="","",Requisitos!C27)</f>
        <v>Indicadores y reportes</v>
      </c>
      <c r="D27" s="76" t="str">
        <f>IF($A27="","",Requisitos!D27)</f>
        <v>Funcional</v>
      </c>
      <c r="E27" s="76" t="str">
        <f>IF($A27="","",Requisitos!E27)</f>
        <v>Media</v>
      </c>
      <c r="F27" s="47"/>
      <c r="G27" s="72">
        <f>IF($A27="","",COUNTIF(Catalogo!$B$5:$B$104,$A27))</f>
        <v>1</v>
      </c>
      <c r="H27" s="72" t="str">
        <f t="shared" si="1"/>
        <v>Cubierto</v>
      </c>
      <c r="I27" s="47"/>
      <c r="J27" s="72" t="str">
        <f>IF($A27="","",IF(G27=0,"Sin casos",IF(COUNTIFS(Catalogo!$B$5:$B$104,$A27,Catalogo!$M$5:$M$104,"FALLIDO")&gt;0,"Fallido",IF(COUNTIFS(Catalogo!$B$5:$B$104,$A27,Catalogo!$M$5:$M$104,"APROBADO")=G27,"Aprobado","Pendiente"))))</f>
        <v>Pendiente</v>
      </c>
      <c r="K27" s="73"/>
    </row>
    <row r="28" ht="15.75" customHeight="1">
      <c r="A28" s="72" t="str">
        <f>IF(Requisitos!A28="","",Requisitos!A28)</f>
        <v>RF-24</v>
      </c>
      <c r="B28" s="62" t="str">
        <f>IF($A28="","",Requisitos!B28)</f>
        <v>Exportar predicciones e indicadores a PDF o Excel con filtros</v>
      </c>
      <c r="C28" s="76" t="str">
        <f>IF($A28="","",Requisitos!C28)</f>
        <v>Indicadores y reportes</v>
      </c>
      <c r="D28" s="76" t="str">
        <f>IF($A28="","",Requisitos!D28)</f>
        <v>Funcional</v>
      </c>
      <c r="E28" s="76" t="str">
        <f>IF($A28="","",Requisitos!E28)</f>
        <v>Media</v>
      </c>
      <c r="F28" s="47"/>
      <c r="G28" s="72">
        <f>IF($A28="","",COUNTIF(Catalogo!$B$5:$B$104,$A28))</f>
        <v>1</v>
      </c>
      <c r="H28" s="72" t="str">
        <f t="shared" si="1"/>
        <v>Cubierto</v>
      </c>
      <c r="I28" s="47"/>
      <c r="J28" s="72" t="str">
        <f>IF($A28="","",IF(G28=0,"Sin casos",IF(COUNTIFS(Catalogo!$B$5:$B$104,$A28,Catalogo!$M$5:$M$104,"FALLIDO")&gt;0,"Fallido",IF(COUNTIFS(Catalogo!$B$5:$B$104,$A28,Catalogo!$M$5:$M$104,"APROBADO")=G28,"Aprobado","Pendiente"))))</f>
        <v>Pendiente</v>
      </c>
      <c r="K28" s="73"/>
    </row>
    <row r="29" ht="15.75" customHeight="1">
      <c r="A29" s="72" t="str">
        <f>IF(Requisitos!A29="","",Requisitos!A29)</f>
        <v>RF-25</v>
      </c>
      <c r="B29" s="62" t="str">
        <f>IF($A29="","",Requisitos!B29)</f>
        <v>Registrar acciones críticas (cargas, ejecuciones y cambios de rol) con usuario y fecha</v>
      </c>
      <c r="C29" s="76" t="str">
        <f>IF($A29="","",Requisitos!C29)</f>
        <v>Autenticación y roles</v>
      </c>
      <c r="D29" s="76" t="str">
        <f>IF($A29="","",Requisitos!D29)</f>
        <v>Funcional</v>
      </c>
      <c r="E29" s="76" t="str">
        <f>IF($A29="","",Requisitos!E29)</f>
        <v>Baja</v>
      </c>
      <c r="F29" s="47"/>
      <c r="G29" s="72">
        <f>IF($A29="","",COUNTIF(Catalogo!$B$5:$B$104,$A29))</f>
        <v>1</v>
      </c>
      <c r="H29" s="72" t="str">
        <f t="shared" si="1"/>
        <v>Cubierto</v>
      </c>
      <c r="I29" s="47"/>
      <c r="J29" s="72" t="str">
        <f>IF($A29="","",IF(G29=0,"Sin casos",IF(COUNTIFS(Catalogo!$B$5:$B$104,$A29,Catalogo!$M$5:$M$104,"FALLIDO")&gt;0,"Fallido",IF(COUNTIFS(Catalogo!$B$5:$B$104,$A29,Catalogo!$M$5:$M$104,"APROBADO")=G29,"Aprobado","Pendiente"))))</f>
        <v>Pendiente</v>
      </c>
      <c r="K29" s="73"/>
    </row>
    <row r="30" ht="15.75" customHeight="1">
      <c r="A30" s="72" t="str">
        <f>IF(Requisitos!A30="","",Requisitos!A30)</f>
        <v>RNF-01</v>
      </c>
      <c r="B30" s="62" t="str">
        <f>IF($A30="","",Requisitos!B30)</f>
        <v>Rendimiento: 6 modelos en ≤ 3 s por producto y ≤ 10 s para los 3 productos</v>
      </c>
      <c r="C30" s="76" t="str">
        <f>IF($A30="","",Requisitos!C30)</f>
        <v>Pronóstico</v>
      </c>
      <c r="D30" s="76" t="str">
        <f>IF($A30="","",Requisitos!D30)</f>
        <v>No funcional</v>
      </c>
      <c r="E30" s="76" t="str">
        <f>IF($A30="","",Requisitos!E30)</f>
        <v>Alta</v>
      </c>
      <c r="F30" s="47"/>
      <c r="G30" s="72">
        <f>IF($A30="","",COUNTIF(Catalogo!$B$5:$B$104,$A30))</f>
        <v>1</v>
      </c>
      <c r="H30" s="72" t="str">
        <f t="shared" si="1"/>
        <v>Cubierto</v>
      </c>
      <c r="I30" s="47"/>
      <c r="J30" s="72" t="str">
        <f>IF($A30="","",IF(G30=0,"Sin casos",IF(COUNTIFS(Catalogo!$B$5:$B$104,$A30,Catalogo!$M$5:$M$104,"FALLIDO")&gt;0,"Fallido",IF(COUNTIFS(Catalogo!$B$5:$B$104,$A30,Catalogo!$M$5:$M$104,"APROBADO")=G30,"Aprobado","Pendiente"))))</f>
        <v>Pendiente</v>
      </c>
      <c r="K30" s="73"/>
    </row>
    <row r="31" ht="15.75" customHeight="1">
      <c r="A31" s="72" t="str">
        <f>IF(Requisitos!A31="","",Requisitos!A31)</f>
        <v>RNF-02</v>
      </c>
      <c r="B31" s="62" t="str">
        <f>IF($A31="","",Requisitos!B31)</f>
        <v>Rendimiento: carga de pantallas y tablero en ≤ 2 s</v>
      </c>
      <c r="C31" s="76" t="str">
        <f>IF($A31="","",Requisitos!C31)</f>
        <v>Indicadores y reportes</v>
      </c>
      <c r="D31" s="76" t="str">
        <f>IF($A31="","",Requisitos!D31)</f>
        <v>No funcional</v>
      </c>
      <c r="E31" s="76" t="str">
        <f>IF($A31="","",Requisitos!E31)</f>
        <v>Media</v>
      </c>
      <c r="F31" s="47"/>
      <c r="G31" s="72">
        <f>IF($A31="","",COUNTIF(Catalogo!$B$5:$B$104,$A31))</f>
        <v>1</v>
      </c>
      <c r="H31" s="72" t="str">
        <f t="shared" si="1"/>
        <v>Cubierto</v>
      </c>
      <c r="I31" s="47"/>
      <c r="J31" s="72" t="str">
        <f>IF($A31="","",IF(G31=0,"Sin casos",IF(COUNTIFS(Catalogo!$B$5:$B$104,$A31,Catalogo!$M$5:$M$104,"FALLIDO")&gt;0,"Fallido",IF(COUNTIFS(Catalogo!$B$5:$B$104,$A31,Catalogo!$M$5:$M$104,"APROBADO")=G31,"Aprobado","Pendiente"))))</f>
        <v>Pendiente</v>
      </c>
      <c r="K31" s="73"/>
    </row>
    <row r="32" ht="15.75" customHeight="1">
      <c r="A32" s="72" t="str">
        <f>IF(Requisitos!A32="","",Requisitos!A32)</f>
        <v>RNF-03</v>
      </c>
      <c r="B32" s="62" t="str">
        <f>IF($A32="","",Requisitos!B32)</f>
        <v>Escalabilidad: 50 productos × 60 períodos sin cambios de código</v>
      </c>
      <c r="C32" s="76" t="str">
        <f>IF($A32="","",Requisitos!C32)</f>
        <v>Transversal</v>
      </c>
      <c r="D32" s="76" t="str">
        <f>IF($A32="","",Requisitos!D32)</f>
        <v>No funcional</v>
      </c>
      <c r="E32" s="76" t="str">
        <f>IF($A32="","",Requisitos!E32)</f>
        <v>Media</v>
      </c>
      <c r="F32" s="47"/>
      <c r="G32" s="72">
        <f>IF($A32="","",COUNTIF(Catalogo!$B$5:$B$104,$A32))</f>
        <v>1</v>
      </c>
      <c r="H32" s="72" t="str">
        <f t="shared" si="1"/>
        <v>Cubierto</v>
      </c>
      <c r="I32" s="47"/>
      <c r="J32" s="72" t="str">
        <f>IF($A32="","",IF(G32=0,"Sin casos",IF(COUNTIFS(Catalogo!$B$5:$B$104,$A32,Catalogo!$M$5:$M$104,"FALLIDO")&gt;0,"Fallido",IF(COUNTIFS(Catalogo!$B$5:$B$104,$A32,Catalogo!$M$5:$M$104,"APROBADO")=G32,"Aprobado","Pendiente"))))</f>
        <v>Pendiente</v>
      </c>
      <c r="K32" s="73"/>
    </row>
    <row r="33" ht="15.75" customHeight="1">
      <c r="A33" s="72" t="str">
        <f>IF(Requisitos!A33="","",Requisitos!A33)</f>
        <v>RNF-04</v>
      </c>
      <c r="B33" s="62" t="str">
        <f>IF($A33="","",Requisitos!B33)</f>
        <v>Seguridad: contraseñas con hash BCrypt, nunca en texto plano</v>
      </c>
      <c r="C33" s="76" t="str">
        <f>IF($A33="","",Requisitos!C33)</f>
        <v>Autenticación y roles</v>
      </c>
      <c r="D33" s="76" t="str">
        <f>IF($A33="","",Requisitos!D33)</f>
        <v>No funcional</v>
      </c>
      <c r="E33" s="76" t="str">
        <f>IF($A33="","",Requisitos!E33)</f>
        <v>Alta</v>
      </c>
      <c r="F33" s="47"/>
      <c r="G33" s="72">
        <f>IF($A33="","",COUNTIF(Catalogo!$B$5:$B$104,$A33))</f>
        <v>1</v>
      </c>
      <c r="H33" s="72" t="str">
        <f t="shared" si="1"/>
        <v>Cubierto</v>
      </c>
      <c r="I33" s="47"/>
      <c r="J33" s="72" t="str">
        <f>IF($A33="","",IF(G33=0,"Sin casos",IF(COUNTIFS(Catalogo!$B$5:$B$104,$A33,Catalogo!$M$5:$M$104,"FALLIDO")&gt;0,"Fallido",IF(COUNTIFS(Catalogo!$B$5:$B$104,$A33,Catalogo!$M$5:$M$104,"APROBADO")=G33,"Aprobado","Pendiente"))))</f>
        <v>Pendiente</v>
      </c>
      <c r="K33" s="73"/>
    </row>
    <row r="34" ht="15.75" customHeight="1">
      <c r="A34" s="72" t="str">
        <f>IF(Requisitos!A34="","",Requisitos!A34)</f>
        <v>RNF-05</v>
      </c>
      <c r="B34" s="62" t="str">
        <f>IF($A34="","",Requisitos!B34)</f>
        <v>Seguridad: JWT con expiración y verificación de rol en cada endpoint</v>
      </c>
      <c r="C34" s="76" t="str">
        <f>IF($A34="","",Requisitos!C34)</f>
        <v>Autenticación y roles</v>
      </c>
      <c r="D34" s="76" t="str">
        <f>IF($A34="","",Requisitos!D34)</f>
        <v>No funcional</v>
      </c>
      <c r="E34" s="76" t="str">
        <f>IF($A34="","",Requisitos!E34)</f>
        <v>Alta</v>
      </c>
      <c r="F34" s="47"/>
      <c r="G34" s="72">
        <f>IF($A34="","",COUNTIF(Catalogo!$B$5:$B$104,$A34))</f>
        <v>1</v>
      </c>
      <c r="H34" s="72" t="str">
        <f t="shared" si="1"/>
        <v>Cubierto</v>
      </c>
      <c r="I34" s="47"/>
      <c r="J34" s="72" t="str">
        <f>IF($A34="","",IF(G34=0,"Sin casos",IF(COUNTIFS(Catalogo!$B$5:$B$104,$A34,Catalogo!$M$5:$M$104,"FALLIDO")&gt;0,"Fallido",IF(COUNTIFS(Catalogo!$B$5:$B$104,$A34,Catalogo!$M$5:$M$104,"APROBADO")=G34,"Aprobado","Pendiente"))))</f>
        <v>Pendiente</v>
      </c>
      <c r="K34" s="73"/>
    </row>
    <row r="35" ht="15.75" customHeight="1">
      <c r="A35" s="72" t="str">
        <f>IF(Requisitos!A35="","",Requisitos!A35)</f>
        <v>RNF-06</v>
      </c>
      <c r="B35" s="62" t="str">
        <f>IF($A35="","",Requisitos!B35)</f>
        <v>Seguridad: protección OWASP Top 10 y HTTPS en producción</v>
      </c>
      <c r="C35" s="76" t="str">
        <f>IF($A35="","",Requisitos!C35)</f>
        <v>Transversal</v>
      </c>
      <c r="D35" s="76" t="str">
        <f>IF($A35="","",Requisitos!D35)</f>
        <v>No funcional</v>
      </c>
      <c r="E35" s="76" t="str">
        <f>IF($A35="","",Requisitos!E35)</f>
        <v>Alta</v>
      </c>
      <c r="F35" s="47"/>
      <c r="G35" s="72">
        <f>IF($A35="","",COUNTIF(Catalogo!$B$5:$B$104,$A35))</f>
        <v>1</v>
      </c>
      <c r="H35" s="72" t="str">
        <f t="shared" si="1"/>
        <v>Cubierto</v>
      </c>
      <c r="I35" s="47"/>
      <c r="J35" s="72" t="str">
        <f>IF($A35="","",IF(G35=0,"Sin casos",IF(COUNTIFS(Catalogo!$B$5:$B$104,$A35,Catalogo!$M$5:$M$104,"FALLIDO")&gt;0,"Fallido",IF(COUNTIFS(Catalogo!$B$5:$B$104,$A35,Catalogo!$M$5:$M$104,"APROBADO")=G35,"Aprobado","Pendiente"))))</f>
        <v>Pendiente</v>
      </c>
      <c r="K35" s="73"/>
    </row>
    <row r="36" ht="15.75" customHeight="1">
      <c r="A36" s="72" t="str">
        <f>IF(Requisitos!A36="","",Requisitos!A36)</f>
        <v>RNF-07</v>
      </c>
      <c r="B36" s="62" t="str">
        <f>IF($A36="","",Requisitos!B36)</f>
        <v>Disponibilidad ≥ 95 % durante el semestre</v>
      </c>
      <c r="C36" s="76" t="str">
        <f>IF($A36="","",Requisitos!C36)</f>
        <v>Transversal</v>
      </c>
      <c r="D36" s="76" t="str">
        <f>IF($A36="","",Requisitos!D36)</f>
        <v>No funcional</v>
      </c>
      <c r="E36" s="76" t="str">
        <f>IF($A36="","",Requisitos!E36)</f>
        <v>Media</v>
      </c>
      <c r="F36" s="47"/>
      <c r="G36" s="72">
        <f>IF($A36="","",COUNTIF(Catalogo!$B$5:$B$104,$A36))</f>
        <v>1</v>
      </c>
      <c r="H36" s="72" t="str">
        <f t="shared" si="1"/>
        <v>Cubierto</v>
      </c>
      <c r="I36" s="47"/>
      <c r="J36" s="72" t="str">
        <f>IF($A36="","",IF(G36=0,"Sin casos",IF(COUNTIFS(Catalogo!$B$5:$B$104,$A36,Catalogo!$M$5:$M$104,"FALLIDO")&gt;0,"Fallido",IF(COUNTIFS(Catalogo!$B$5:$B$104,$A36,Catalogo!$M$5:$M$104,"APROBADO")=G36,"Aprobado","Pendiente"))))</f>
        <v>Pendiente</v>
      </c>
      <c r="K36" s="73"/>
    </row>
    <row r="37" ht="15.75" customHeight="1">
      <c r="A37" s="72" t="str">
        <f>IF(Requisitos!A37="","",Requisitos!A37)</f>
        <v>RNF-08</v>
      </c>
      <c r="B37" s="62" t="str">
        <f>IF($A37="","",Requisitos!B37)</f>
        <v>Exactitud: diferencia ≤ 0,01 % frente al cálculo independiente</v>
      </c>
      <c r="C37" s="76" t="str">
        <f>IF($A37="","",Requisitos!C37)</f>
        <v>Pronóstico</v>
      </c>
      <c r="D37" s="76" t="str">
        <f>IF($A37="","",Requisitos!D37)</f>
        <v>No funcional</v>
      </c>
      <c r="E37" s="76" t="str">
        <f>IF($A37="","",Requisitos!E37)</f>
        <v>Alta</v>
      </c>
      <c r="F37" s="47"/>
      <c r="G37" s="72">
        <f>IF($A37="","",COUNTIF(Catalogo!$B$5:$B$104,$A37))</f>
        <v>1</v>
      </c>
      <c r="H37" s="72" t="str">
        <f t="shared" si="1"/>
        <v>Cubierto</v>
      </c>
      <c r="I37" s="47"/>
      <c r="J37" s="72" t="str">
        <f>IF($A37="","",IF(G37=0,"Sin casos",IF(COUNTIFS(Catalogo!$B$5:$B$104,$A37,Catalogo!$M$5:$M$104,"FALLIDO")&gt;0,"Fallido",IF(COUNTIFS(Catalogo!$B$5:$B$104,$A37,Catalogo!$M$5:$M$104,"APROBADO")=G37,"Aprobado","Pendiente"))))</f>
        <v>Pendiente</v>
      </c>
      <c r="K37" s="73"/>
    </row>
    <row r="38" ht="15.75" customHeight="1">
      <c r="A38" s="72" t="str">
        <f>IF(Requisitos!A38="","",Requisitos!A38)</f>
        <v>RNF-09</v>
      </c>
      <c r="B38" s="62" t="str">
        <f>IF($A38="","",Requisitos!B38)</f>
        <v>Integridad: todo cambio del histórico queda registrado con el valor original</v>
      </c>
      <c r="C38" s="76" t="str">
        <f>IF($A38="","",Requisitos!C38)</f>
        <v>Gestión de datos</v>
      </c>
      <c r="D38" s="76" t="str">
        <f>IF($A38="","",Requisitos!D38)</f>
        <v>No funcional</v>
      </c>
      <c r="E38" s="76" t="str">
        <f>IF($A38="","",Requisitos!E38)</f>
        <v>Alta</v>
      </c>
      <c r="F38" s="47"/>
      <c r="G38" s="72">
        <f>IF($A38="","",COUNTIF(Catalogo!$B$5:$B$104,$A38))</f>
        <v>1</v>
      </c>
      <c r="H38" s="72" t="str">
        <f t="shared" si="1"/>
        <v>Cubierto</v>
      </c>
      <c r="I38" s="47"/>
      <c r="J38" s="72" t="str">
        <f>IF($A38="","",IF(G38=0,"Sin casos",IF(COUNTIFS(Catalogo!$B$5:$B$104,$A38,Catalogo!$M$5:$M$104,"FALLIDO")&gt;0,"Fallido",IF(COUNTIFS(Catalogo!$B$5:$B$104,$A38,Catalogo!$M$5:$M$104,"APROBADO")=G38,"Aprobado","Pendiente"))))</f>
        <v>Pendiente</v>
      </c>
      <c r="K38" s="73"/>
    </row>
    <row r="39" ht="15.75" customHeight="1">
      <c r="A39" s="72" t="str">
        <f>IF(Requisitos!A39="","",Requisitos!A39)</f>
        <v>RNF-10</v>
      </c>
      <c r="B39" s="62" t="str">
        <f>IF($A39="","",Requisitos!B39)</f>
        <v>Usabilidad: ≥ 80 % de las tareas principales sin ayuda</v>
      </c>
      <c r="C39" s="76" t="str">
        <f>IF($A39="","",Requisitos!C39)</f>
        <v>Transversal</v>
      </c>
      <c r="D39" s="76" t="str">
        <f>IF($A39="","",Requisitos!D39)</f>
        <v>No funcional</v>
      </c>
      <c r="E39" s="76" t="str">
        <f>IF($A39="","",Requisitos!E39)</f>
        <v>Media</v>
      </c>
      <c r="F39" s="47"/>
      <c r="G39" s="72">
        <f>IF($A39="","",COUNTIF(Catalogo!$B$5:$B$104,$A39))</f>
        <v>1</v>
      </c>
      <c r="H39" s="72" t="str">
        <f t="shared" si="1"/>
        <v>Cubierto</v>
      </c>
      <c r="I39" s="47"/>
      <c r="J39" s="72" t="str">
        <f>IF($A39="","",IF(G39=0,"Sin casos",IF(COUNTIFS(Catalogo!$B$5:$B$104,$A39,Catalogo!$M$5:$M$104,"FALLIDO")&gt;0,"Fallido",IF(COUNTIFS(Catalogo!$B$5:$B$104,$A39,Catalogo!$M$5:$M$104,"APROBADO")=G39,"Aprobado","Pendiente"))))</f>
        <v>Pendiente</v>
      </c>
      <c r="K39" s="73"/>
    </row>
    <row r="40" ht="15.75" customHeight="1">
      <c r="A40" s="72" t="str">
        <f>IF(Requisitos!A40="","",Requisitos!A40)</f>
        <v>RNF-11</v>
      </c>
      <c r="B40" s="62" t="str">
        <f>IF($A40="","",Requisitos!B40)</f>
        <v>Usabilidad: diseño responsivo en escritorio y tableta</v>
      </c>
      <c r="C40" s="76" t="str">
        <f>IF($A40="","",Requisitos!C40)</f>
        <v>Transversal</v>
      </c>
      <c r="D40" s="76" t="str">
        <f>IF($A40="","",Requisitos!D40)</f>
        <v>No funcional</v>
      </c>
      <c r="E40" s="76" t="str">
        <f>IF($A40="","",Requisitos!E40)</f>
        <v>Media</v>
      </c>
      <c r="F40" s="47"/>
      <c r="G40" s="72">
        <f>IF($A40="","",COUNTIF(Catalogo!$B$5:$B$104,$A40))</f>
        <v>1</v>
      </c>
      <c r="H40" s="72" t="str">
        <f t="shared" si="1"/>
        <v>Cubierto</v>
      </c>
      <c r="I40" s="47"/>
      <c r="J40" s="72" t="str">
        <f>IF($A40="","",IF(G40=0,"Sin casos",IF(COUNTIFS(Catalogo!$B$5:$B$104,$A40,Catalogo!$M$5:$M$104,"FALLIDO")&gt;0,"Fallido",IF(COUNTIFS(Catalogo!$B$5:$B$104,$A40,Catalogo!$M$5:$M$104,"APROBADO")=G40,"Aprobado","Pendiente"))))</f>
        <v>Pendiente</v>
      </c>
      <c r="K40" s="73"/>
    </row>
    <row r="41" ht="15.75" customHeight="1">
      <c r="A41" s="72" t="str">
        <f>IF(Requisitos!A41="","",Requisitos!A41)</f>
        <v>RNF-12</v>
      </c>
      <c r="B41" s="62" t="str">
        <f>IF($A41="","",Requisitos!B41)</f>
        <v>Mantenibilidad: capas separadas y cada modelo en su propia clase</v>
      </c>
      <c r="C41" s="76" t="str">
        <f>IF($A41="","",Requisitos!C41)</f>
        <v>Pronóstico</v>
      </c>
      <c r="D41" s="76" t="str">
        <f>IF($A41="","",Requisitos!D41)</f>
        <v>No funcional</v>
      </c>
      <c r="E41" s="76" t="str">
        <f>IF($A41="","",Requisitos!E41)</f>
        <v>Media</v>
      </c>
      <c r="F41" s="47"/>
      <c r="G41" s="72">
        <f>IF($A41="","",COUNTIF(Catalogo!$B$5:$B$104,$A41))</f>
        <v>1</v>
      </c>
      <c r="H41" s="72" t="str">
        <f t="shared" si="1"/>
        <v>Cubierto</v>
      </c>
      <c r="I41" s="47"/>
      <c r="J41" s="72" t="str">
        <f>IF($A41="","",IF(G41=0,"Sin casos",IF(COUNTIFS(Catalogo!$B$5:$B$104,$A41,Catalogo!$M$5:$M$104,"FALLIDO")&gt;0,"Fallido",IF(COUNTIFS(Catalogo!$B$5:$B$104,$A41,Catalogo!$M$5:$M$104,"APROBADO")=G41,"Aprobado","Pendiente"))))</f>
        <v>Pendiente</v>
      </c>
      <c r="K41" s="73"/>
    </row>
    <row r="42" ht="15.75" customHeight="1">
      <c r="A42" s="72" t="str">
        <f>IF(Requisitos!A42="","",Requisitos!A42)</f>
        <v>RNF-13</v>
      </c>
      <c r="B42" s="62" t="str">
        <f>IF($A42="","",Requisitos!B42)</f>
        <v>Testabilidad: cobertura ≥ 70 % en la lógica de pronóstico</v>
      </c>
      <c r="C42" s="76" t="str">
        <f>IF($A42="","",Requisitos!C42)</f>
        <v>Pronóstico</v>
      </c>
      <c r="D42" s="76" t="str">
        <f>IF($A42="","",Requisitos!D42)</f>
        <v>No funcional</v>
      </c>
      <c r="E42" s="76" t="str">
        <f>IF($A42="","",Requisitos!E42)</f>
        <v>Alta</v>
      </c>
      <c r="F42" s="47"/>
      <c r="G42" s="72">
        <f>IF($A42="","",COUNTIF(Catalogo!$B$5:$B$104,$A42))</f>
        <v>1</v>
      </c>
      <c r="H42" s="72" t="str">
        <f t="shared" si="1"/>
        <v>Cubierto</v>
      </c>
      <c r="I42" s="47"/>
      <c r="J42" s="72" t="str">
        <f>IF($A42="","",IF(G42=0,"Sin casos",IF(COUNTIFS(Catalogo!$B$5:$B$104,$A42,Catalogo!$M$5:$M$104,"FALLIDO")&gt;0,"Fallido",IF(COUNTIFS(Catalogo!$B$5:$B$104,$A42,Catalogo!$M$5:$M$104,"APROBADO")=G42,"Aprobado","Pendiente"))))</f>
        <v>Pendiente</v>
      </c>
      <c r="K42" s="73"/>
    </row>
    <row r="43" ht="15.75" customHeight="1">
      <c r="A43" s="72" t="str">
        <f>IF(Requisitos!A43="","",Requisitos!A43)</f>
        <v>RNF-14</v>
      </c>
      <c r="B43" s="62" t="str">
        <f>IF($A43="","",Requisitos!B43)</f>
        <v>Interoperabilidad: CSV/XLSX de entrada y PDF/XLSX de salida</v>
      </c>
      <c r="C43" s="76" t="str">
        <f>IF($A43="","",Requisitos!C43)</f>
        <v>Transversal</v>
      </c>
      <c r="D43" s="76" t="str">
        <f>IF($A43="","",Requisitos!D43)</f>
        <v>No funcional</v>
      </c>
      <c r="E43" s="76" t="str">
        <f>IF($A43="","",Requisitos!E43)</f>
        <v>Media</v>
      </c>
      <c r="F43" s="47"/>
      <c r="G43" s="72">
        <f>IF($A43="","",COUNTIF(Catalogo!$B$5:$B$104,$A43))</f>
        <v>1</v>
      </c>
      <c r="H43" s="72" t="str">
        <f t="shared" si="1"/>
        <v>Cubierto</v>
      </c>
      <c r="I43" s="47"/>
      <c r="J43" s="72" t="str">
        <f>IF($A43="","",IF(G43=0,"Sin casos",IF(COUNTIFS(Catalogo!$B$5:$B$104,$A43,Catalogo!$M$5:$M$104,"FALLIDO")&gt;0,"Fallido",IF(COUNTIFS(Catalogo!$B$5:$B$104,$A43,Catalogo!$M$5:$M$104,"APROBADO")=G43,"Aprobado","Pendiente"))))</f>
        <v>Pendiente</v>
      </c>
      <c r="K43" s="73"/>
    </row>
    <row r="44" ht="15.75" customHeight="1">
      <c r="A44" s="72" t="str">
        <f>IF(Requisitos!A44="","",Requisitos!A44)</f>
        <v>RNF-15</v>
      </c>
      <c r="B44" s="62" t="str">
        <f>IF($A44="","",Requisitos!B44)</f>
        <v>Portabilidad: el sistema se levanta con un comando (Docker Compose)</v>
      </c>
      <c r="C44" s="76" t="str">
        <f>IF($A44="","",Requisitos!C44)</f>
        <v>Transversal</v>
      </c>
      <c r="D44" s="76" t="str">
        <f>IF($A44="","",Requisitos!D44)</f>
        <v>No funcional</v>
      </c>
      <c r="E44" s="76" t="str">
        <f>IF($A44="","",Requisitos!E44)</f>
        <v>Media</v>
      </c>
      <c r="F44" s="47"/>
      <c r="G44" s="72">
        <f>IF($A44="","",COUNTIF(Catalogo!$B$5:$B$104,$A44))</f>
        <v>1</v>
      </c>
      <c r="H44" s="72" t="str">
        <f t="shared" si="1"/>
        <v>Cubierto</v>
      </c>
      <c r="I44" s="47"/>
      <c r="J44" s="72" t="str">
        <f>IF($A44="","",IF(G44=0,"Sin casos",IF(COUNTIFS(Catalogo!$B$5:$B$104,$A44,Catalogo!$M$5:$M$104,"FALLIDO")&gt;0,"Fallido",IF(COUNTIFS(Catalogo!$B$5:$B$104,$A44,Catalogo!$M$5:$M$104,"APROBADO")=G44,"Aprobado","Pendiente"))))</f>
        <v>Pendiente</v>
      </c>
      <c r="K44" s="73"/>
    </row>
    <row r="45" ht="15.75" customHeight="1">
      <c r="A45" s="72" t="str">
        <f>IF(Requisitos!A45="","",Requisitos!A45)</f>
        <v>RNF-16</v>
      </c>
      <c r="B45" s="62" t="str">
        <f>IF($A45="","",Requisitos!B45)</f>
        <v>Documentación: un ADR por decisión arquitectónica relevante</v>
      </c>
      <c r="C45" s="76" t="str">
        <f>IF($A45="","",Requisitos!C45)</f>
        <v>Transversal</v>
      </c>
      <c r="D45" s="76" t="str">
        <f>IF($A45="","",Requisitos!D45)</f>
        <v>No funcional</v>
      </c>
      <c r="E45" s="76" t="str">
        <f>IF($A45="","",Requisitos!E45)</f>
        <v>Baja</v>
      </c>
      <c r="F45" s="47"/>
      <c r="G45" s="72">
        <f>IF($A45="","",COUNTIF(Catalogo!$B$5:$B$104,$A45))</f>
        <v>1</v>
      </c>
      <c r="H45" s="72" t="str">
        <f t="shared" si="1"/>
        <v>Cubierto</v>
      </c>
      <c r="I45" s="47"/>
      <c r="J45" s="72" t="str">
        <f>IF($A45="","",IF(G45=0,"Sin casos",IF(COUNTIFS(Catalogo!$B$5:$B$104,$A45,Catalogo!$M$5:$M$104,"FALLIDO")&gt;0,"Fallido",IF(COUNTIFS(Catalogo!$B$5:$B$104,$A45,Catalogo!$M$5:$M$104,"APROBADO")=G45,"Aprobado","Pendiente"))))</f>
        <v>Pendiente</v>
      </c>
      <c r="K45" s="73"/>
    </row>
    <row r="46" ht="15.75" customHeight="1">
      <c r="A46" s="72" t="str">
        <f>IF(Requisitos!A46="","",Requisitos!A46)</f>
        <v/>
      </c>
      <c r="B46" s="62" t="str">
        <f>IF($A46="","",Requisitos!B46)</f>
        <v/>
      </c>
      <c r="C46" s="76" t="str">
        <f>IF($A46="","",Requisitos!C46)</f>
        <v/>
      </c>
      <c r="D46" s="76" t="str">
        <f>IF($A46="","",Requisitos!D46)</f>
        <v/>
      </c>
      <c r="E46" s="76" t="str">
        <f>IF($A46="","",Requisitos!E46)</f>
        <v/>
      </c>
      <c r="F46" s="47"/>
      <c r="G46" s="72" t="str">
        <f>IF($A46="","",COUNTIF(Catalogo!$B$5:$B$104,$A46))</f>
        <v/>
      </c>
      <c r="H46" s="72" t="str">
        <f t="shared" si="1"/>
        <v/>
      </c>
      <c r="I46" s="47"/>
      <c r="J46" s="72" t="str">
        <f>IF($A46="","",IF(G46=0,"Sin casos",IF(COUNTIFS(Catalogo!$B$5:$B$104,$A46,Catalogo!$M$5:$M$104,"FALLIDO")&gt;0,"Fallido",IF(COUNTIFS(Catalogo!$B$5:$B$104,$A46,Catalogo!$M$5:$M$104,"APROBADO")=G46,"Aprobado","Pendiente"))))</f>
        <v/>
      </c>
      <c r="K46" s="73"/>
    </row>
    <row r="47" ht="15.75" customHeight="1">
      <c r="A47" s="72" t="str">
        <f>IF(Requisitos!A47="","",Requisitos!A47)</f>
        <v/>
      </c>
      <c r="B47" s="62" t="str">
        <f>IF($A47="","",Requisitos!B47)</f>
        <v/>
      </c>
      <c r="C47" s="76" t="str">
        <f>IF($A47="","",Requisitos!C47)</f>
        <v/>
      </c>
      <c r="D47" s="76" t="str">
        <f>IF($A47="","",Requisitos!D47)</f>
        <v/>
      </c>
      <c r="E47" s="76" t="str">
        <f>IF($A47="","",Requisitos!E47)</f>
        <v/>
      </c>
      <c r="F47" s="47"/>
      <c r="G47" s="72" t="str">
        <f>IF($A47="","",COUNTIF(Catalogo!$B$5:$B$104,$A47))</f>
        <v/>
      </c>
      <c r="H47" s="72" t="str">
        <f t="shared" si="1"/>
        <v/>
      </c>
      <c r="I47" s="47"/>
      <c r="J47" s="72" t="str">
        <f>IF($A47="","",IF(G47=0,"Sin casos",IF(COUNTIFS(Catalogo!$B$5:$B$104,$A47,Catalogo!$M$5:$M$104,"FALLIDO")&gt;0,"Fallido",IF(COUNTIFS(Catalogo!$B$5:$B$104,$A47,Catalogo!$M$5:$M$104,"APROBADO")=G47,"Aprobado","Pendiente"))))</f>
        <v/>
      </c>
      <c r="K47" s="73"/>
    </row>
    <row r="48" ht="15.75" customHeight="1">
      <c r="A48" s="72" t="str">
        <f>IF(Requisitos!A48="","",Requisitos!A48)</f>
        <v/>
      </c>
      <c r="B48" s="62" t="str">
        <f>IF($A48="","",Requisitos!B48)</f>
        <v/>
      </c>
      <c r="C48" s="76" t="str">
        <f>IF($A48="","",Requisitos!C48)</f>
        <v/>
      </c>
      <c r="D48" s="76" t="str">
        <f>IF($A48="","",Requisitos!D48)</f>
        <v/>
      </c>
      <c r="E48" s="76" t="str">
        <f>IF($A48="","",Requisitos!E48)</f>
        <v/>
      </c>
      <c r="F48" s="47"/>
      <c r="G48" s="72" t="str">
        <f>IF($A48="","",COUNTIF(Catalogo!$B$5:$B$104,$A48))</f>
        <v/>
      </c>
      <c r="H48" s="72" t="str">
        <f t="shared" si="1"/>
        <v/>
      </c>
      <c r="I48" s="47"/>
      <c r="J48" s="72" t="str">
        <f>IF($A48="","",IF(G48=0,"Sin casos",IF(COUNTIFS(Catalogo!$B$5:$B$104,$A48,Catalogo!$M$5:$M$104,"FALLIDO")&gt;0,"Fallido",IF(COUNTIFS(Catalogo!$B$5:$B$104,$A48,Catalogo!$M$5:$M$104,"APROBADO")=G48,"Aprobado","Pendiente"))))</f>
        <v/>
      </c>
      <c r="K48" s="73"/>
    </row>
    <row r="49" ht="15.75" customHeight="1">
      <c r="A49" s="72" t="str">
        <f>IF(Requisitos!A49="","",Requisitos!A49)</f>
        <v/>
      </c>
      <c r="B49" s="62" t="str">
        <f>IF($A49="","",Requisitos!B49)</f>
        <v/>
      </c>
      <c r="C49" s="76" t="str">
        <f>IF($A49="","",Requisitos!C49)</f>
        <v/>
      </c>
      <c r="D49" s="76" t="str">
        <f>IF($A49="","",Requisitos!D49)</f>
        <v/>
      </c>
      <c r="E49" s="76" t="str">
        <f>IF($A49="","",Requisitos!E49)</f>
        <v/>
      </c>
      <c r="F49" s="47"/>
      <c r="G49" s="72" t="str">
        <f>IF($A49="","",COUNTIF(Catalogo!$B$5:$B$104,$A49))</f>
        <v/>
      </c>
      <c r="H49" s="72" t="str">
        <f t="shared" si="1"/>
        <v/>
      </c>
      <c r="I49" s="47"/>
      <c r="J49" s="72" t="str">
        <f>IF($A49="","",IF(G49=0,"Sin casos",IF(COUNTIFS(Catalogo!$B$5:$B$104,$A49,Catalogo!$M$5:$M$104,"FALLIDO")&gt;0,"Fallido",IF(COUNTIFS(Catalogo!$B$5:$B$104,$A49,Catalogo!$M$5:$M$104,"APROBADO")=G49,"Aprobado","Pendiente"))))</f>
        <v/>
      </c>
      <c r="K49" s="73"/>
    </row>
    <row r="50" ht="15.75" customHeight="1">
      <c r="A50" s="72" t="str">
        <f>IF(Requisitos!A50="","",Requisitos!A50)</f>
        <v/>
      </c>
      <c r="B50" s="62" t="str">
        <f>IF($A50="","",Requisitos!B50)</f>
        <v/>
      </c>
      <c r="C50" s="76" t="str">
        <f>IF($A50="","",Requisitos!C50)</f>
        <v/>
      </c>
      <c r="D50" s="76" t="str">
        <f>IF($A50="","",Requisitos!D50)</f>
        <v/>
      </c>
      <c r="E50" s="76" t="str">
        <f>IF($A50="","",Requisitos!E50)</f>
        <v/>
      </c>
      <c r="F50" s="47"/>
      <c r="G50" s="72" t="str">
        <f>IF($A50="","",COUNTIF(Catalogo!$B$5:$B$104,$A50))</f>
        <v/>
      </c>
      <c r="H50" s="72" t="str">
        <f t="shared" si="1"/>
        <v/>
      </c>
      <c r="I50" s="47"/>
      <c r="J50" s="72" t="str">
        <f>IF($A50="","",IF(G50=0,"Sin casos",IF(COUNTIFS(Catalogo!$B$5:$B$104,$A50,Catalogo!$M$5:$M$104,"FALLIDO")&gt;0,"Fallido",IF(COUNTIFS(Catalogo!$B$5:$B$104,$A50,Catalogo!$M$5:$M$104,"APROBADO")=G50,"Aprobado","Pendiente"))))</f>
        <v/>
      </c>
      <c r="K50" s="73"/>
    </row>
    <row r="51" ht="15.75" customHeight="1">
      <c r="A51" s="72" t="str">
        <f>IF(Requisitos!A51="","",Requisitos!A51)</f>
        <v/>
      </c>
      <c r="B51" s="62" t="str">
        <f>IF($A51="","",Requisitos!B51)</f>
        <v/>
      </c>
      <c r="C51" s="76" t="str">
        <f>IF($A51="","",Requisitos!C51)</f>
        <v/>
      </c>
      <c r="D51" s="76" t="str">
        <f>IF($A51="","",Requisitos!D51)</f>
        <v/>
      </c>
      <c r="E51" s="76" t="str">
        <f>IF($A51="","",Requisitos!E51)</f>
        <v/>
      </c>
      <c r="F51" s="47"/>
      <c r="G51" s="72" t="str">
        <f>IF($A51="","",COUNTIF(Catalogo!$B$5:$B$104,$A51))</f>
        <v/>
      </c>
      <c r="H51" s="72" t="str">
        <f t="shared" si="1"/>
        <v/>
      </c>
      <c r="I51" s="47"/>
      <c r="J51" s="72" t="str">
        <f>IF($A51="","",IF(G51=0,"Sin casos",IF(COUNTIFS(Catalogo!$B$5:$B$104,$A51,Catalogo!$M$5:$M$104,"FALLIDO")&gt;0,"Fallido",IF(COUNTIFS(Catalogo!$B$5:$B$104,$A51,Catalogo!$M$5:$M$104,"APROBADO")=G51,"Aprobado","Pendiente"))))</f>
        <v/>
      </c>
      <c r="K51" s="73"/>
    </row>
    <row r="52" ht="15.75" customHeight="1">
      <c r="A52" s="72" t="str">
        <f>IF(Requisitos!A52="","",Requisitos!A52)</f>
        <v/>
      </c>
      <c r="B52" s="62" t="str">
        <f>IF($A52="","",Requisitos!B52)</f>
        <v/>
      </c>
      <c r="C52" s="76" t="str">
        <f>IF($A52="","",Requisitos!C52)</f>
        <v/>
      </c>
      <c r="D52" s="76" t="str">
        <f>IF($A52="","",Requisitos!D52)</f>
        <v/>
      </c>
      <c r="E52" s="76" t="str">
        <f>IF($A52="","",Requisitos!E52)</f>
        <v/>
      </c>
      <c r="F52" s="47"/>
      <c r="G52" s="72" t="str">
        <f>IF($A52="","",COUNTIF(Catalogo!$B$5:$B$104,$A52))</f>
        <v/>
      </c>
      <c r="H52" s="72" t="str">
        <f t="shared" si="1"/>
        <v/>
      </c>
      <c r="I52" s="47"/>
      <c r="J52" s="72" t="str">
        <f>IF($A52="","",IF(G52=0,"Sin casos",IF(COUNTIFS(Catalogo!$B$5:$B$104,$A52,Catalogo!$M$5:$M$104,"FALLIDO")&gt;0,"Fallido",IF(COUNTIFS(Catalogo!$B$5:$B$104,$A52,Catalogo!$M$5:$M$104,"APROBADO")=G52,"Aprobado","Pendiente"))))</f>
        <v/>
      </c>
      <c r="K52" s="73"/>
    </row>
    <row r="53" ht="15.75" customHeight="1">
      <c r="A53" s="72" t="str">
        <f>IF(Requisitos!A53="","",Requisitos!A53)</f>
        <v/>
      </c>
      <c r="B53" s="62" t="str">
        <f>IF($A53="","",Requisitos!B53)</f>
        <v/>
      </c>
      <c r="C53" s="76" t="str">
        <f>IF($A53="","",Requisitos!C53)</f>
        <v/>
      </c>
      <c r="D53" s="76" t="str">
        <f>IF($A53="","",Requisitos!D53)</f>
        <v/>
      </c>
      <c r="E53" s="76" t="str">
        <f>IF($A53="","",Requisitos!E53)</f>
        <v/>
      </c>
      <c r="F53" s="47"/>
      <c r="G53" s="72" t="str">
        <f>IF($A53="","",COUNTIF(Catalogo!$B$5:$B$104,$A53))</f>
        <v/>
      </c>
      <c r="H53" s="72" t="str">
        <f t="shared" si="1"/>
        <v/>
      </c>
      <c r="I53" s="47"/>
      <c r="J53" s="72" t="str">
        <f>IF($A53="","",IF(G53=0,"Sin casos",IF(COUNTIFS(Catalogo!$B$5:$B$104,$A53,Catalogo!$M$5:$M$104,"FALLIDO")&gt;0,"Fallido",IF(COUNTIFS(Catalogo!$B$5:$B$104,$A53,Catalogo!$M$5:$M$104,"APROBADO")=G53,"Aprobado","Pendiente"))))</f>
        <v/>
      </c>
      <c r="K53" s="73"/>
    </row>
    <row r="54" ht="15.75" customHeight="1">
      <c r="A54" s="72" t="str">
        <f>IF(Requisitos!A54="","",Requisitos!A54)</f>
        <v/>
      </c>
      <c r="B54" s="62" t="str">
        <f>IF($A54="","",Requisitos!B54)</f>
        <v/>
      </c>
      <c r="C54" s="76" t="str">
        <f>IF($A54="","",Requisitos!C54)</f>
        <v/>
      </c>
      <c r="D54" s="76" t="str">
        <f>IF($A54="","",Requisitos!D54)</f>
        <v/>
      </c>
      <c r="E54" s="76" t="str">
        <f>IF($A54="","",Requisitos!E54)</f>
        <v/>
      </c>
      <c r="F54" s="47"/>
      <c r="G54" s="72" t="str">
        <f>IF($A54="","",COUNTIF(Catalogo!$B$5:$B$104,$A54))</f>
        <v/>
      </c>
      <c r="H54" s="72" t="str">
        <f t="shared" si="1"/>
        <v/>
      </c>
      <c r="I54" s="47"/>
      <c r="J54" s="72" t="str">
        <f>IF($A54="","",IF(G54=0,"Sin casos",IF(COUNTIFS(Catalogo!$B$5:$B$104,$A54,Catalogo!$M$5:$M$104,"FALLIDO")&gt;0,"Fallido",IF(COUNTIFS(Catalogo!$B$5:$B$104,$A54,Catalogo!$M$5:$M$104,"APROBADO")=G54,"Aprobado","Pendiente"))))</f>
        <v/>
      </c>
      <c r="K54" s="73"/>
    </row>
    <row r="55" ht="15.75" customHeight="1">
      <c r="A55" s="72" t="str">
        <f>IF(Requisitos!A55="","",Requisitos!A55)</f>
        <v/>
      </c>
      <c r="B55" s="62" t="str">
        <f>IF($A55="","",Requisitos!B55)</f>
        <v/>
      </c>
      <c r="C55" s="76" t="str">
        <f>IF($A55="","",Requisitos!C55)</f>
        <v/>
      </c>
      <c r="D55" s="76" t="str">
        <f>IF($A55="","",Requisitos!D55)</f>
        <v/>
      </c>
      <c r="E55" s="76" t="str">
        <f>IF($A55="","",Requisitos!E55)</f>
        <v/>
      </c>
      <c r="F55" s="47"/>
      <c r="G55" s="72" t="str">
        <f>IF($A55="","",COUNTIF(Catalogo!$B$5:$B$104,$A55))</f>
        <v/>
      </c>
      <c r="H55" s="72" t="str">
        <f t="shared" si="1"/>
        <v/>
      </c>
      <c r="I55" s="47"/>
      <c r="J55" s="72" t="str">
        <f>IF($A55="","",IF(G55=0,"Sin casos",IF(COUNTIFS(Catalogo!$B$5:$B$104,$A55,Catalogo!$M$5:$M$104,"FALLIDO")&gt;0,"Fallido",IF(COUNTIFS(Catalogo!$B$5:$B$104,$A55,Catalogo!$M$5:$M$104,"APROBADO")=G55,"Aprobado","Pendiente"))))</f>
        <v/>
      </c>
      <c r="K55" s="73"/>
    </row>
    <row r="56" ht="15.75" customHeight="1">
      <c r="A56" s="72" t="str">
        <f>IF(Requisitos!A56="","",Requisitos!A56)</f>
        <v/>
      </c>
      <c r="B56" s="62" t="str">
        <f>IF($A56="","",Requisitos!B56)</f>
        <v/>
      </c>
      <c r="C56" s="76" t="str">
        <f>IF($A56="","",Requisitos!C56)</f>
        <v/>
      </c>
      <c r="D56" s="76" t="str">
        <f>IF($A56="","",Requisitos!D56)</f>
        <v/>
      </c>
      <c r="E56" s="76" t="str">
        <f>IF($A56="","",Requisitos!E56)</f>
        <v/>
      </c>
      <c r="F56" s="47"/>
      <c r="G56" s="72" t="str">
        <f>IF($A56="","",COUNTIF(Catalogo!$B$5:$B$104,$A56))</f>
        <v/>
      </c>
      <c r="H56" s="72" t="str">
        <f t="shared" si="1"/>
        <v/>
      </c>
      <c r="I56" s="47"/>
      <c r="J56" s="72" t="str">
        <f>IF($A56="","",IF(G56=0,"Sin casos",IF(COUNTIFS(Catalogo!$B$5:$B$104,$A56,Catalogo!$M$5:$M$104,"FALLIDO")&gt;0,"Fallido",IF(COUNTIFS(Catalogo!$B$5:$B$104,$A56,Catalogo!$M$5:$M$104,"APROBADO")=G56,"Aprobado","Pendiente"))))</f>
        <v/>
      </c>
      <c r="K56" s="73"/>
    </row>
    <row r="57" ht="15.75" customHeight="1">
      <c r="A57" s="72" t="str">
        <f>IF(Requisitos!A57="","",Requisitos!A57)</f>
        <v/>
      </c>
      <c r="B57" s="62" t="str">
        <f>IF($A57="","",Requisitos!B57)</f>
        <v/>
      </c>
      <c r="C57" s="76" t="str">
        <f>IF($A57="","",Requisitos!C57)</f>
        <v/>
      </c>
      <c r="D57" s="76" t="str">
        <f>IF($A57="","",Requisitos!D57)</f>
        <v/>
      </c>
      <c r="E57" s="76" t="str">
        <f>IF($A57="","",Requisitos!E57)</f>
        <v/>
      </c>
      <c r="F57" s="47"/>
      <c r="G57" s="72" t="str">
        <f>IF($A57="","",COUNTIF(Catalogo!$B$5:$B$104,$A57))</f>
        <v/>
      </c>
      <c r="H57" s="72" t="str">
        <f t="shared" si="1"/>
        <v/>
      </c>
      <c r="I57" s="47"/>
      <c r="J57" s="72" t="str">
        <f>IF($A57="","",IF(G57=0,"Sin casos",IF(COUNTIFS(Catalogo!$B$5:$B$104,$A57,Catalogo!$M$5:$M$104,"FALLIDO")&gt;0,"Fallido",IF(COUNTIFS(Catalogo!$B$5:$B$104,$A57,Catalogo!$M$5:$M$104,"APROBADO")=G57,"Aprobado","Pendiente"))))</f>
        <v/>
      </c>
      <c r="K57" s="73"/>
    </row>
    <row r="58" ht="15.75" customHeight="1">
      <c r="A58" s="72" t="str">
        <f>IF(Requisitos!A58="","",Requisitos!A58)</f>
        <v/>
      </c>
      <c r="B58" s="62" t="str">
        <f>IF($A58="","",Requisitos!B58)</f>
        <v/>
      </c>
      <c r="C58" s="76" t="str">
        <f>IF($A58="","",Requisitos!C58)</f>
        <v/>
      </c>
      <c r="D58" s="76" t="str">
        <f>IF($A58="","",Requisitos!D58)</f>
        <v/>
      </c>
      <c r="E58" s="76" t="str">
        <f>IF($A58="","",Requisitos!E58)</f>
        <v/>
      </c>
      <c r="F58" s="47"/>
      <c r="G58" s="72" t="str">
        <f>IF($A58="","",COUNTIF(Catalogo!$B$5:$B$104,$A58))</f>
        <v/>
      </c>
      <c r="H58" s="72" t="str">
        <f t="shared" si="1"/>
        <v/>
      </c>
      <c r="I58" s="47"/>
      <c r="J58" s="72" t="str">
        <f>IF($A58="","",IF(G58=0,"Sin casos",IF(COUNTIFS(Catalogo!$B$5:$B$104,$A58,Catalogo!$M$5:$M$104,"FALLIDO")&gt;0,"Fallido",IF(COUNTIFS(Catalogo!$B$5:$B$104,$A58,Catalogo!$M$5:$M$104,"APROBADO")=G58,"Aprobado","Pendiente"))))</f>
        <v/>
      </c>
      <c r="K58" s="73"/>
    </row>
    <row r="59" ht="15.75" customHeight="1">
      <c r="A59" s="72" t="str">
        <f>IF(Requisitos!A59="","",Requisitos!A59)</f>
        <v/>
      </c>
      <c r="B59" s="62" t="str">
        <f>IF($A59="","",Requisitos!B59)</f>
        <v/>
      </c>
      <c r="C59" s="76" t="str">
        <f>IF($A59="","",Requisitos!C59)</f>
        <v/>
      </c>
      <c r="D59" s="76" t="str">
        <f>IF($A59="","",Requisitos!D59)</f>
        <v/>
      </c>
      <c r="E59" s="76" t="str">
        <f>IF($A59="","",Requisitos!E59)</f>
        <v/>
      </c>
      <c r="F59" s="47"/>
      <c r="G59" s="72" t="str">
        <f>IF($A59="","",COUNTIF(Catalogo!$B$5:$B$104,$A59))</f>
        <v/>
      </c>
      <c r="H59" s="72" t="str">
        <f t="shared" si="1"/>
        <v/>
      </c>
      <c r="I59" s="47"/>
      <c r="J59" s="72" t="str">
        <f>IF($A59="","",IF(G59=0,"Sin casos",IF(COUNTIFS(Catalogo!$B$5:$B$104,$A59,Catalogo!$M$5:$M$104,"FALLIDO")&gt;0,"Fallido",IF(COUNTIFS(Catalogo!$B$5:$B$104,$A59,Catalogo!$M$5:$M$104,"APROBADO")=G59,"Aprobado","Pendiente"))))</f>
        <v/>
      </c>
      <c r="K59" s="73"/>
    </row>
    <row r="60" ht="15.75" customHeight="1">
      <c r="A60" s="72" t="str">
        <f>IF(Requisitos!A60="","",Requisitos!A60)</f>
        <v/>
      </c>
      <c r="B60" s="62" t="str">
        <f>IF($A60="","",Requisitos!B60)</f>
        <v/>
      </c>
      <c r="C60" s="76" t="str">
        <f>IF($A60="","",Requisitos!C60)</f>
        <v/>
      </c>
      <c r="D60" s="76" t="str">
        <f>IF($A60="","",Requisitos!D60)</f>
        <v/>
      </c>
      <c r="E60" s="76" t="str">
        <f>IF($A60="","",Requisitos!E60)</f>
        <v/>
      </c>
      <c r="F60" s="47"/>
      <c r="G60" s="72" t="str">
        <f>IF($A60="","",COUNTIF(Catalogo!$B$5:$B$104,$A60))</f>
        <v/>
      </c>
      <c r="H60" s="72" t="str">
        <f t="shared" si="1"/>
        <v/>
      </c>
      <c r="I60" s="47"/>
      <c r="J60" s="72" t="str">
        <f>IF($A60="","",IF(G60=0,"Sin casos",IF(COUNTIFS(Catalogo!$B$5:$B$104,$A60,Catalogo!$M$5:$M$104,"FALLIDO")&gt;0,"Fallido",IF(COUNTIFS(Catalogo!$B$5:$B$104,$A60,Catalogo!$M$5:$M$104,"APROBADO")=G60,"Aprobado","Pendiente"))))</f>
        <v/>
      </c>
      <c r="K60" s="73"/>
    </row>
    <row r="61" ht="15.75" customHeight="1"/>
    <row r="62" ht="15.75" customHeight="1">
      <c r="A62" s="2" t="s">
        <v>561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5:H60">
    <cfRule type="cellIs" dxfId="1" priority="1" operator="equal">
      <formula>"SIN COBERTURA"</formula>
    </cfRule>
  </conditionalFormatting>
  <conditionalFormatting sqref="H5:H60">
    <cfRule type="cellIs" dxfId="0" priority="2" operator="equal">
      <formula>"Cubierto"</formula>
    </cfRule>
  </conditionalFormatting>
  <conditionalFormatting sqref="J5:J60">
    <cfRule type="cellIs" dxfId="1" priority="3" operator="equal">
      <formula>"Fallido"</formula>
    </cfRule>
  </conditionalFormatting>
  <conditionalFormatting sqref="J5:J60">
    <cfRule type="cellIs" dxfId="0" priority="4" operator="equal">
      <formula>"Aprobado"</formula>
    </cfRule>
  </conditionalFormatting>
  <conditionalFormatting sqref="J5:J60">
    <cfRule type="cellIs" dxfId="2" priority="5" operator="equal">
      <formula>"Pendiente"</formula>
    </cfRule>
  </conditionalFormatting>
  <conditionalFormatting sqref="J5:J60">
    <cfRule type="cellIs" dxfId="1" priority="6" operator="equal">
      <formula>"Sin casos"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22.0"/>
    <col customWidth="1" min="3" max="5" width="16.0"/>
    <col customWidth="1" min="6" max="26" width="8.71"/>
  </cols>
  <sheetData>
    <row r="1">
      <c r="A1" s="1" t="s">
        <v>485</v>
      </c>
    </row>
    <row r="2">
      <c r="A2" s="2" t="s">
        <v>487</v>
      </c>
    </row>
    <row r="4" ht="31.5" customHeight="1">
      <c r="A4" s="4" t="s">
        <v>489</v>
      </c>
      <c r="B4" s="4" t="s">
        <v>53</v>
      </c>
    </row>
    <row r="5">
      <c r="A5" s="62" t="s">
        <v>490</v>
      </c>
      <c r="B5" s="77">
        <f>COUNTA(Requisitos!A5:A60)</f>
        <v>41</v>
      </c>
    </row>
    <row r="6">
      <c r="A6" s="62" t="s">
        <v>494</v>
      </c>
      <c r="B6" s="77">
        <f>COUNTIF(Matriz!G5:G60,"&gt;0")</f>
        <v>41</v>
      </c>
    </row>
    <row r="7">
      <c r="A7" s="62" t="s">
        <v>499</v>
      </c>
      <c r="B7" s="78">
        <f>IF(B5=0,0,B6/B5)</f>
        <v>1</v>
      </c>
    </row>
    <row r="8">
      <c r="A8" s="62" t="s">
        <v>503</v>
      </c>
      <c r="B8" s="77">
        <f>B5-B6</f>
        <v>0</v>
      </c>
    </row>
    <row r="9">
      <c r="A9" s="62" t="s">
        <v>507</v>
      </c>
      <c r="B9" s="77">
        <f>COUNTA(Catalogo!A5:A104)</f>
        <v>45</v>
      </c>
    </row>
    <row r="10">
      <c r="A10" s="62" t="s">
        <v>508</v>
      </c>
      <c r="B10" s="77">
        <f>COUNTIF(Catalogo!E5:E104,"Verificación numérica")</f>
        <v>10</v>
      </c>
    </row>
    <row r="11">
      <c r="A11" s="62" t="s">
        <v>509</v>
      </c>
      <c r="B11" s="77">
        <f t="array" ref="B11">SUMPRODUCT((Catalogo!B5:B104&lt;&gt;"")*(COUNTIF(Requisitos!A5:A60,Catalogo!B5:B104)=0))</f>
        <v>0</v>
      </c>
    </row>
    <row r="12">
      <c r="A12" s="62" t="s">
        <v>514</v>
      </c>
      <c r="B12" s="79" t="str">
        <f>IF(B9&gt;=20,"CUMPLE","FALTAN "&amp;(20-B9))</f>
        <v>CUMPLE</v>
      </c>
    </row>
    <row r="13">
      <c r="A13" s="62" t="s">
        <v>518</v>
      </c>
      <c r="B13" s="79" t="str">
        <f>IF(B10&gt;=8,"CUMPLE","FALTAN "&amp;(8-B10))</f>
        <v>CUMPLE</v>
      </c>
    </row>
    <row r="14">
      <c r="A14" s="62" t="s">
        <v>522</v>
      </c>
      <c r="B14" s="79" t="str">
        <f>IF(B5=0,"SIN DATOS",IF(B8=0,"CUMPLE","FALTAN "&amp;B8&amp;" REQUISITO(S)"))</f>
        <v>CUMPLE</v>
      </c>
    </row>
    <row r="17" ht="31.5" customHeight="1">
      <c r="A17" s="4" t="s">
        <v>6</v>
      </c>
      <c r="B17" s="4" t="s">
        <v>526</v>
      </c>
      <c r="C17" s="4" t="s">
        <v>527</v>
      </c>
      <c r="D17" s="4" t="s">
        <v>528</v>
      </c>
    </row>
    <row r="18">
      <c r="A18" s="62" t="s">
        <v>37</v>
      </c>
      <c r="B18" s="76">
        <f>COUNTIF(Requisitos!$C$5:$C$60,A18)</f>
        <v>7</v>
      </c>
      <c r="C18" s="76">
        <f>COUNTIFS(Matriz!$C$5:$C$60,A18,Matriz!$G$5:$G$60,"&gt;0")</f>
        <v>7</v>
      </c>
      <c r="D18" s="80">
        <f t="shared" ref="D18:D22" si="1">IF(B18=0,"",C18/B18)</f>
        <v>1</v>
      </c>
    </row>
    <row r="19">
      <c r="A19" s="62" t="s">
        <v>63</v>
      </c>
      <c r="B19" s="76">
        <f>COUNTIF(Requisitos!$C$5:$C$60,A19)</f>
        <v>14</v>
      </c>
      <c r="C19" s="76">
        <f>COUNTIFS(Matriz!$C$5:$C$60,A19,Matriz!$G$5:$G$60,"&gt;0")</f>
        <v>14</v>
      </c>
      <c r="D19" s="80">
        <f t="shared" si="1"/>
        <v>1</v>
      </c>
    </row>
    <row r="20">
      <c r="A20" s="62" t="s">
        <v>86</v>
      </c>
      <c r="B20" s="76">
        <f>COUNTIF(Requisitos!$C$5:$C$60,A20)</f>
        <v>6</v>
      </c>
      <c r="C20" s="76">
        <f>COUNTIFS(Matriz!$C$5:$C$60,A20,Matriz!$G$5:$G$60,"&gt;0")</f>
        <v>6</v>
      </c>
      <c r="D20" s="80">
        <f t="shared" si="1"/>
        <v>1</v>
      </c>
    </row>
    <row r="21" ht="15.75" customHeight="1">
      <c r="A21" s="62" t="s">
        <v>16</v>
      </c>
      <c r="B21" s="76">
        <f>COUNTIF(Requisitos!$C$5:$C$60,A21)</f>
        <v>6</v>
      </c>
      <c r="C21" s="76">
        <f>COUNTIFS(Matriz!$C$5:$C$60,A21,Matriz!$G$5:$G$60,"&gt;0")</f>
        <v>6</v>
      </c>
      <c r="D21" s="80">
        <f t="shared" si="1"/>
        <v>1</v>
      </c>
    </row>
    <row r="22" ht="15.75" customHeight="1">
      <c r="A22" s="62" t="s">
        <v>107</v>
      </c>
      <c r="B22" s="76">
        <f>COUNTIF(Requisitos!$C$5:$C$60,A22)</f>
        <v>8</v>
      </c>
      <c r="C22" s="76">
        <f>COUNTIFS(Matriz!$C$5:$C$60,A22,Matriz!$G$5:$G$60,"&gt;0")</f>
        <v>8</v>
      </c>
      <c r="D22" s="80">
        <f t="shared" si="1"/>
        <v>1</v>
      </c>
    </row>
    <row r="23" ht="15.75" customHeight="1"/>
    <row r="24" ht="15.75" customHeight="1"/>
    <row r="25" ht="31.5" customHeight="1">
      <c r="A25" s="4" t="s">
        <v>551</v>
      </c>
      <c r="B25" s="4" t="s">
        <v>43</v>
      </c>
    </row>
    <row r="26" ht="15.75" customHeight="1">
      <c r="A26" s="62" t="s">
        <v>269</v>
      </c>
      <c r="B26" s="76">
        <f>COUNTIF(Catalogo!$M$5:$M$104,A26)</f>
        <v>45</v>
      </c>
    </row>
    <row r="27" ht="15.75" customHeight="1">
      <c r="A27" s="62" t="s">
        <v>552</v>
      </c>
      <c r="B27" s="76">
        <f>COUNTIF(Catalogo!$M$5:$M$104,A27)</f>
        <v>0</v>
      </c>
    </row>
    <row r="28" ht="15.75" customHeight="1">
      <c r="A28" s="62" t="s">
        <v>553</v>
      </c>
      <c r="B28" s="76">
        <f>COUNTIF(Catalogo!$M$5:$M$104,A28)</f>
        <v>0</v>
      </c>
    </row>
    <row r="29" ht="15.75" customHeight="1">
      <c r="A29" s="62" t="s">
        <v>554</v>
      </c>
      <c r="B29" s="76">
        <f>COUNTIF(Catalogo!$M$5:$M$104,A29)</f>
        <v>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2:B14">
    <cfRule type="expression" dxfId="0" priority="1">
      <formula>LEFT(B12,6)="CUMPLE"</formula>
    </cfRule>
  </conditionalFormatting>
  <conditionalFormatting sqref="B12:B14">
    <cfRule type="expression" dxfId="1" priority="2">
      <formula>LEFT(B12,6)="FALTAN"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8.0"/>
    <col customWidth="1" min="2" max="2" width="46.0"/>
    <col customWidth="1" min="3" max="3" width="22.0"/>
    <col customWidth="1" min="4" max="4" width="11.0"/>
    <col customWidth="1" min="5" max="5" width="13.0"/>
    <col customWidth="1" min="6" max="6" width="11.0"/>
    <col customWidth="1" min="7" max="7" width="12.0"/>
    <col customWidth="1" min="8" max="8" width="10.0"/>
    <col customWidth="1" min="9" max="9" width="46.0"/>
    <col customWidth="1" min="10" max="10" width="20.0"/>
    <col customWidth="1" min="11" max="11" width="12.0"/>
    <col customWidth="1" min="12" max="26" width="8.71"/>
  </cols>
  <sheetData>
    <row r="1">
      <c r="A1" s="1" t="s">
        <v>459</v>
      </c>
    </row>
    <row r="2">
      <c r="A2" s="2" t="s">
        <v>460</v>
      </c>
    </row>
    <row r="4" ht="31.5" customHeight="1">
      <c r="A4" s="4" t="s">
        <v>461</v>
      </c>
      <c r="B4" s="4" t="s">
        <v>462</v>
      </c>
      <c r="C4" s="4" t="s">
        <v>6</v>
      </c>
      <c r="D4" s="4" t="s">
        <v>8</v>
      </c>
      <c r="E4" s="4" t="s">
        <v>463</v>
      </c>
      <c r="F4" s="4" t="s">
        <v>464</v>
      </c>
      <c r="G4" s="4" t="s">
        <v>465</v>
      </c>
      <c r="H4" s="4" t="s">
        <v>196</v>
      </c>
      <c r="I4" s="4" t="s">
        <v>466</v>
      </c>
      <c r="J4" s="4" t="s">
        <v>467</v>
      </c>
      <c r="K4" s="4" t="s">
        <v>468</v>
      </c>
    </row>
    <row r="5">
      <c r="A5" s="8" t="s">
        <v>469</v>
      </c>
      <c r="B5" s="8" t="s">
        <v>470</v>
      </c>
      <c r="C5" s="8" t="s">
        <v>63</v>
      </c>
      <c r="D5" s="8" t="s">
        <v>471</v>
      </c>
      <c r="E5" s="8">
        <v>4.0</v>
      </c>
      <c r="F5" s="8">
        <v>5.0</v>
      </c>
      <c r="G5" s="72">
        <f t="shared" ref="G5:G44" si="1">IF(OR(E5="",F5=""),"",E5*F5)</f>
        <v>20</v>
      </c>
      <c r="H5" s="72" t="str">
        <f t="shared" ref="H5:H44" si="2">IF(G5="","",IF(G5&gt;=15,"Alto",IF(G5&gt;=8,"Medio","Bajo")))</f>
        <v>Alto</v>
      </c>
      <c r="I5" s="8" t="s">
        <v>472</v>
      </c>
      <c r="J5" s="8" t="s">
        <v>473</v>
      </c>
      <c r="K5" s="8" t="s">
        <v>324</v>
      </c>
    </row>
    <row r="6">
      <c r="A6" s="8" t="s">
        <v>474</v>
      </c>
      <c r="B6" s="8" t="s">
        <v>475</v>
      </c>
      <c r="C6" s="8" t="s">
        <v>63</v>
      </c>
      <c r="D6" s="8" t="s">
        <v>471</v>
      </c>
      <c r="E6" s="8">
        <v>3.0</v>
      </c>
      <c r="F6" s="8">
        <v>5.0</v>
      </c>
      <c r="G6" s="72">
        <f t="shared" si="1"/>
        <v>15</v>
      </c>
      <c r="H6" s="72" t="str">
        <f t="shared" si="2"/>
        <v>Alto</v>
      </c>
      <c r="I6" s="8" t="s">
        <v>476</v>
      </c>
      <c r="J6" s="8" t="s">
        <v>477</v>
      </c>
      <c r="K6" s="8" t="s">
        <v>324</v>
      </c>
    </row>
    <row r="7">
      <c r="A7" s="8" t="s">
        <v>478</v>
      </c>
      <c r="B7" s="8" t="s">
        <v>479</v>
      </c>
      <c r="C7" s="8" t="s">
        <v>16</v>
      </c>
      <c r="D7" s="8" t="s">
        <v>471</v>
      </c>
      <c r="E7" s="8">
        <v>3.0</v>
      </c>
      <c r="F7" s="8">
        <v>5.0</v>
      </c>
      <c r="G7" s="72">
        <f t="shared" si="1"/>
        <v>15</v>
      </c>
      <c r="H7" s="72" t="str">
        <f t="shared" si="2"/>
        <v>Alto</v>
      </c>
      <c r="I7" s="8" t="s">
        <v>480</v>
      </c>
      <c r="J7" s="8" t="s">
        <v>276</v>
      </c>
      <c r="K7" s="8" t="s">
        <v>324</v>
      </c>
    </row>
    <row r="8">
      <c r="A8" s="8" t="s">
        <v>481</v>
      </c>
      <c r="B8" s="8" t="s">
        <v>482</v>
      </c>
      <c r="C8" s="8" t="s">
        <v>107</v>
      </c>
      <c r="D8" s="8" t="s">
        <v>483</v>
      </c>
      <c r="E8" s="8">
        <v>3.0</v>
      </c>
      <c r="F8" s="8">
        <v>5.0</v>
      </c>
      <c r="G8" s="72">
        <f t="shared" si="1"/>
        <v>15</v>
      </c>
      <c r="H8" s="72" t="str">
        <f t="shared" si="2"/>
        <v>Alto</v>
      </c>
      <c r="I8" s="8" t="s">
        <v>484</v>
      </c>
      <c r="J8" s="8" t="s">
        <v>379</v>
      </c>
      <c r="K8" s="8" t="s">
        <v>324</v>
      </c>
    </row>
    <row r="9">
      <c r="A9" s="8" t="s">
        <v>486</v>
      </c>
      <c r="B9" s="8" t="s">
        <v>488</v>
      </c>
      <c r="C9" s="8" t="s">
        <v>63</v>
      </c>
      <c r="D9" s="8" t="s">
        <v>471</v>
      </c>
      <c r="E9" s="8">
        <v>3.0</v>
      </c>
      <c r="F9" s="8">
        <v>4.0</v>
      </c>
      <c r="G9" s="72">
        <f t="shared" si="1"/>
        <v>12</v>
      </c>
      <c r="H9" s="72" t="str">
        <f t="shared" si="2"/>
        <v>Medio</v>
      </c>
      <c r="I9" s="8" t="s">
        <v>491</v>
      </c>
      <c r="J9" s="8" t="s">
        <v>394</v>
      </c>
      <c r="K9" s="8" t="s">
        <v>324</v>
      </c>
    </row>
    <row r="10">
      <c r="A10" s="8" t="s">
        <v>492</v>
      </c>
      <c r="B10" s="8" t="s">
        <v>493</v>
      </c>
      <c r="C10" s="8" t="s">
        <v>37</v>
      </c>
      <c r="D10" s="8" t="s">
        <v>471</v>
      </c>
      <c r="E10" s="8">
        <v>2.0</v>
      </c>
      <c r="F10" s="8">
        <v>5.0</v>
      </c>
      <c r="G10" s="72">
        <f t="shared" si="1"/>
        <v>10</v>
      </c>
      <c r="H10" s="72" t="str">
        <f t="shared" si="2"/>
        <v>Medio</v>
      </c>
      <c r="I10" s="8" t="s">
        <v>495</v>
      </c>
      <c r="J10" s="8" t="s">
        <v>496</v>
      </c>
      <c r="K10" s="8" t="s">
        <v>324</v>
      </c>
    </row>
    <row r="11">
      <c r="A11" s="8" t="s">
        <v>497</v>
      </c>
      <c r="B11" s="8" t="s">
        <v>498</v>
      </c>
      <c r="C11" s="8" t="s">
        <v>37</v>
      </c>
      <c r="D11" s="8" t="s">
        <v>471</v>
      </c>
      <c r="E11" s="8">
        <v>3.0</v>
      </c>
      <c r="F11" s="8">
        <v>3.0</v>
      </c>
      <c r="G11" s="72">
        <f t="shared" si="1"/>
        <v>9</v>
      </c>
      <c r="H11" s="72" t="str">
        <f t="shared" si="2"/>
        <v>Medio</v>
      </c>
      <c r="I11" s="8" t="s">
        <v>500</v>
      </c>
      <c r="J11" s="8" t="s">
        <v>295</v>
      </c>
      <c r="K11" s="8" t="s">
        <v>324</v>
      </c>
    </row>
    <row r="12">
      <c r="A12" s="8" t="s">
        <v>501</v>
      </c>
      <c r="B12" s="8" t="s">
        <v>502</v>
      </c>
      <c r="C12" s="8" t="s">
        <v>86</v>
      </c>
      <c r="D12" s="8" t="s">
        <v>471</v>
      </c>
      <c r="E12" s="8">
        <v>2.0</v>
      </c>
      <c r="F12" s="8">
        <v>4.0</v>
      </c>
      <c r="G12" s="72">
        <f t="shared" si="1"/>
        <v>8</v>
      </c>
      <c r="H12" s="72" t="str">
        <f t="shared" si="2"/>
        <v>Medio</v>
      </c>
      <c r="I12" s="8" t="s">
        <v>504</v>
      </c>
      <c r="J12" s="8" t="s">
        <v>363</v>
      </c>
      <c r="K12" s="8" t="s">
        <v>324</v>
      </c>
    </row>
    <row r="13">
      <c r="A13" s="8" t="s">
        <v>505</v>
      </c>
      <c r="B13" s="8" t="s">
        <v>506</v>
      </c>
      <c r="C13" s="8" t="s">
        <v>107</v>
      </c>
      <c r="D13" s="8" t="s">
        <v>483</v>
      </c>
      <c r="E13" s="8">
        <v>2.0</v>
      </c>
      <c r="F13" s="8">
        <v>4.0</v>
      </c>
      <c r="G13" s="72">
        <f t="shared" si="1"/>
        <v>8</v>
      </c>
      <c r="H13" s="72" t="str">
        <f t="shared" si="2"/>
        <v>Medio</v>
      </c>
      <c r="I13" s="8" t="s">
        <v>510</v>
      </c>
      <c r="J13" s="8" t="s">
        <v>402</v>
      </c>
      <c r="K13" s="8" t="s">
        <v>324</v>
      </c>
    </row>
    <row r="14">
      <c r="A14" s="8" t="s">
        <v>511</v>
      </c>
      <c r="B14" s="8" t="s">
        <v>512</v>
      </c>
      <c r="C14" s="8" t="s">
        <v>86</v>
      </c>
      <c r="D14" s="8" t="s">
        <v>471</v>
      </c>
      <c r="E14" s="8">
        <v>2.0</v>
      </c>
      <c r="F14" s="8">
        <v>4.0</v>
      </c>
      <c r="G14" s="72">
        <f t="shared" si="1"/>
        <v>8</v>
      </c>
      <c r="H14" s="72" t="str">
        <f t="shared" si="2"/>
        <v>Medio</v>
      </c>
      <c r="I14" s="8" t="s">
        <v>513</v>
      </c>
      <c r="J14" s="8" t="s">
        <v>515</v>
      </c>
      <c r="K14" s="8" t="s">
        <v>324</v>
      </c>
    </row>
    <row r="15">
      <c r="A15" s="8" t="s">
        <v>516</v>
      </c>
      <c r="B15" s="8" t="s">
        <v>517</v>
      </c>
      <c r="C15" s="8" t="s">
        <v>86</v>
      </c>
      <c r="D15" s="8" t="s">
        <v>471</v>
      </c>
      <c r="E15" s="8">
        <v>2.0</v>
      </c>
      <c r="F15" s="8">
        <v>3.0</v>
      </c>
      <c r="G15" s="72">
        <f t="shared" si="1"/>
        <v>6</v>
      </c>
      <c r="H15" s="72" t="str">
        <f t="shared" si="2"/>
        <v>Bajo</v>
      </c>
      <c r="I15" s="8" t="s">
        <v>519</v>
      </c>
      <c r="J15" s="8" t="s">
        <v>359</v>
      </c>
      <c r="K15" s="8" t="s">
        <v>324</v>
      </c>
    </row>
    <row r="16">
      <c r="A16" s="8" t="s">
        <v>520</v>
      </c>
      <c r="B16" s="8" t="s">
        <v>521</v>
      </c>
      <c r="C16" s="8" t="s">
        <v>37</v>
      </c>
      <c r="D16" s="8" t="s">
        <v>471</v>
      </c>
      <c r="E16" s="8">
        <v>2.0</v>
      </c>
      <c r="F16" s="8">
        <v>3.0</v>
      </c>
      <c r="G16" s="72">
        <f t="shared" si="1"/>
        <v>6</v>
      </c>
      <c r="H16" s="72" t="str">
        <f t="shared" si="2"/>
        <v>Bajo</v>
      </c>
      <c r="I16" s="8" t="s">
        <v>523</v>
      </c>
      <c r="J16" s="8" t="s">
        <v>288</v>
      </c>
      <c r="K16" s="8" t="s">
        <v>324</v>
      </c>
    </row>
    <row r="17">
      <c r="A17" s="8" t="s">
        <v>524</v>
      </c>
      <c r="B17" s="8" t="s">
        <v>525</v>
      </c>
      <c r="C17" s="8" t="s">
        <v>16</v>
      </c>
      <c r="D17" s="8" t="s">
        <v>471</v>
      </c>
      <c r="E17" s="8">
        <v>1.0</v>
      </c>
      <c r="F17" s="8">
        <v>5.0</v>
      </c>
      <c r="G17" s="72">
        <f t="shared" si="1"/>
        <v>5</v>
      </c>
      <c r="H17" s="72" t="str">
        <f t="shared" si="2"/>
        <v>Bajo</v>
      </c>
      <c r="I17" s="8" t="s">
        <v>529</v>
      </c>
      <c r="J17" s="8" t="s">
        <v>389</v>
      </c>
      <c r="K17" s="8" t="s">
        <v>324</v>
      </c>
    </row>
    <row r="18">
      <c r="A18" s="8" t="s">
        <v>530</v>
      </c>
      <c r="B18" s="8" t="s">
        <v>531</v>
      </c>
      <c r="C18" s="8" t="s">
        <v>107</v>
      </c>
      <c r="D18" s="8" t="s">
        <v>471</v>
      </c>
      <c r="E18" s="8">
        <v>2.0</v>
      </c>
      <c r="F18" s="8">
        <v>2.0</v>
      </c>
      <c r="G18" s="72">
        <f t="shared" si="1"/>
        <v>4</v>
      </c>
      <c r="H18" s="72" t="str">
        <f t="shared" si="2"/>
        <v>Bajo</v>
      </c>
      <c r="I18" s="8" t="s">
        <v>532</v>
      </c>
      <c r="J18" s="8" t="s">
        <v>376</v>
      </c>
      <c r="K18" s="8" t="s">
        <v>324</v>
      </c>
    </row>
    <row r="19">
      <c r="A19" s="8" t="s">
        <v>533</v>
      </c>
      <c r="B19" s="8" t="s">
        <v>534</v>
      </c>
      <c r="C19" s="8" t="s">
        <v>63</v>
      </c>
      <c r="D19" s="8" t="s">
        <v>471</v>
      </c>
      <c r="E19" s="8">
        <v>2.0</v>
      </c>
      <c r="F19" s="8">
        <v>2.0</v>
      </c>
      <c r="G19" s="72">
        <f t="shared" si="1"/>
        <v>4</v>
      </c>
      <c r="H19" s="72" t="str">
        <f t="shared" si="2"/>
        <v>Bajo</v>
      </c>
      <c r="I19" s="8" t="s">
        <v>535</v>
      </c>
      <c r="J19" s="8" t="s">
        <v>335</v>
      </c>
      <c r="K19" s="8" t="s">
        <v>324</v>
      </c>
    </row>
    <row r="20">
      <c r="A20" s="8" t="s">
        <v>536</v>
      </c>
      <c r="B20" s="8" t="s">
        <v>537</v>
      </c>
      <c r="C20" s="8" t="s">
        <v>16</v>
      </c>
      <c r="D20" s="8" t="s">
        <v>471</v>
      </c>
      <c r="E20" s="8">
        <v>3.0</v>
      </c>
      <c r="F20" s="8">
        <v>4.0</v>
      </c>
      <c r="G20" s="72">
        <f t="shared" si="1"/>
        <v>12</v>
      </c>
      <c r="H20" s="72" t="str">
        <f t="shared" si="2"/>
        <v>Medio</v>
      </c>
      <c r="I20" s="8" t="s">
        <v>538</v>
      </c>
      <c r="J20" s="8" t="s">
        <v>270</v>
      </c>
      <c r="K20" s="8" t="s">
        <v>324</v>
      </c>
    </row>
    <row r="21" ht="15.75" customHeight="1">
      <c r="A21" s="8" t="s">
        <v>539</v>
      </c>
      <c r="B21" s="8" t="s">
        <v>540</v>
      </c>
      <c r="C21" s="8" t="s">
        <v>63</v>
      </c>
      <c r="D21" s="8" t="s">
        <v>471</v>
      </c>
      <c r="E21" s="8">
        <v>3.0</v>
      </c>
      <c r="F21" s="8">
        <v>4.0</v>
      </c>
      <c r="G21" s="72">
        <f t="shared" si="1"/>
        <v>12</v>
      </c>
      <c r="H21" s="72" t="str">
        <f t="shared" si="2"/>
        <v>Medio</v>
      </c>
      <c r="I21" s="8" t="s">
        <v>541</v>
      </c>
      <c r="J21" s="8" t="s">
        <v>542</v>
      </c>
      <c r="K21" s="8" t="s">
        <v>324</v>
      </c>
    </row>
    <row r="22" ht="15.75" customHeight="1">
      <c r="A22" s="8" t="s">
        <v>543</v>
      </c>
      <c r="B22" s="8" t="s">
        <v>544</v>
      </c>
      <c r="C22" s="8" t="s">
        <v>86</v>
      </c>
      <c r="D22" s="8" t="s">
        <v>471</v>
      </c>
      <c r="E22" s="8">
        <v>2.0</v>
      </c>
      <c r="F22" s="8">
        <v>4.0</v>
      </c>
      <c r="G22" s="72">
        <f t="shared" si="1"/>
        <v>8</v>
      </c>
      <c r="H22" s="72" t="str">
        <f t="shared" si="2"/>
        <v>Medio</v>
      </c>
      <c r="I22" s="8" t="s">
        <v>545</v>
      </c>
      <c r="J22" s="8" t="s">
        <v>319</v>
      </c>
      <c r="K22" s="8" t="s">
        <v>324</v>
      </c>
    </row>
    <row r="23" ht="15.75" customHeight="1">
      <c r="A23" s="8" t="s">
        <v>546</v>
      </c>
      <c r="B23" s="8" t="s">
        <v>547</v>
      </c>
      <c r="C23" s="8" t="s">
        <v>86</v>
      </c>
      <c r="D23" s="8" t="s">
        <v>471</v>
      </c>
      <c r="E23" s="8">
        <v>2.0</v>
      </c>
      <c r="F23" s="8">
        <v>3.0</v>
      </c>
      <c r="G23" s="72">
        <f t="shared" si="1"/>
        <v>6</v>
      </c>
      <c r="H23" s="72" t="str">
        <f t="shared" si="2"/>
        <v>Bajo</v>
      </c>
      <c r="I23" s="8" t="s">
        <v>548</v>
      </c>
      <c r="J23" s="8" t="s">
        <v>325</v>
      </c>
      <c r="K23" s="8" t="s">
        <v>324</v>
      </c>
    </row>
    <row r="24" ht="15.75" customHeight="1">
      <c r="A24" s="8" t="s">
        <v>549</v>
      </c>
      <c r="B24" s="8" t="s">
        <v>550</v>
      </c>
      <c r="C24" s="8" t="s">
        <v>16</v>
      </c>
      <c r="D24" s="8" t="s">
        <v>471</v>
      </c>
      <c r="E24" s="8">
        <v>1.0</v>
      </c>
      <c r="F24" s="8">
        <v>3.0</v>
      </c>
      <c r="G24" s="72">
        <f t="shared" si="1"/>
        <v>3</v>
      </c>
      <c r="H24" s="72" t="str">
        <f t="shared" si="2"/>
        <v>Bajo</v>
      </c>
      <c r="I24" s="8" t="s">
        <v>555</v>
      </c>
      <c r="J24" s="8" t="s">
        <v>341</v>
      </c>
      <c r="K24" s="8" t="s">
        <v>324</v>
      </c>
    </row>
    <row r="25" ht="15.75" customHeight="1">
      <c r="A25" s="47"/>
      <c r="B25" s="47"/>
      <c r="C25" s="47"/>
      <c r="D25" s="47"/>
      <c r="E25" s="47"/>
      <c r="F25" s="47"/>
      <c r="G25" s="72" t="str">
        <f t="shared" si="1"/>
        <v/>
      </c>
      <c r="H25" s="72" t="str">
        <f t="shared" si="2"/>
        <v/>
      </c>
      <c r="I25" s="47"/>
      <c r="J25" s="47"/>
      <c r="K25" s="47"/>
    </row>
    <row r="26" ht="15.75" customHeight="1">
      <c r="A26" s="47"/>
      <c r="B26" s="47"/>
      <c r="C26" s="47"/>
      <c r="D26" s="47"/>
      <c r="E26" s="47"/>
      <c r="F26" s="47"/>
      <c r="G26" s="72" t="str">
        <f t="shared" si="1"/>
        <v/>
      </c>
      <c r="H26" s="72" t="str">
        <f t="shared" si="2"/>
        <v/>
      </c>
      <c r="I26" s="47"/>
      <c r="J26" s="47"/>
      <c r="K26" s="47"/>
    </row>
    <row r="27" ht="15.75" customHeight="1">
      <c r="A27" s="47"/>
      <c r="B27" s="47"/>
      <c r="C27" s="47"/>
      <c r="D27" s="47"/>
      <c r="E27" s="47"/>
      <c r="F27" s="47"/>
      <c r="G27" s="72" t="str">
        <f t="shared" si="1"/>
        <v/>
      </c>
      <c r="H27" s="72" t="str">
        <f t="shared" si="2"/>
        <v/>
      </c>
      <c r="I27" s="47"/>
      <c r="J27" s="47"/>
      <c r="K27" s="47"/>
    </row>
    <row r="28" ht="15.75" customHeight="1">
      <c r="A28" s="47"/>
      <c r="B28" s="47"/>
      <c r="C28" s="47"/>
      <c r="D28" s="47"/>
      <c r="E28" s="47"/>
      <c r="F28" s="47"/>
      <c r="G28" s="72" t="str">
        <f t="shared" si="1"/>
        <v/>
      </c>
      <c r="H28" s="72" t="str">
        <f t="shared" si="2"/>
        <v/>
      </c>
      <c r="I28" s="47"/>
      <c r="J28" s="47"/>
      <c r="K28" s="47"/>
    </row>
    <row r="29" ht="15.75" customHeight="1">
      <c r="A29" s="47"/>
      <c r="B29" s="47"/>
      <c r="C29" s="47"/>
      <c r="D29" s="47"/>
      <c r="E29" s="47"/>
      <c r="F29" s="47"/>
      <c r="G29" s="72" t="str">
        <f t="shared" si="1"/>
        <v/>
      </c>
      <c r="H29" s="72" t="str">
        <f t="shared" si="2"/>
        <v/>
      </c>
      <c r="I29" s="47"/>
      <c r="J29" s="47"/>
      <c r="K29" s="47"/>
    </row>
    <row r="30" ht="15.75" customHeight="1">
      <c r="A30" s="47"/>
      <c r="B30" s="47"/>
      <c r="C30" s="47"/>
      <c r="D30" s="47"/>
      <c r="E30" s="47"/>
      <c r="F30" s="47"/>
      <c r="G30" s="72" t="str">
        <f t="shared" si="1"/>
        <v/>
      </c>
      <c r="H30" s="72" t="str">
        <f t="shared" si="2"/>
        <v/>
      </c>
      <c r="I30" s="47"/>
      <c r="J30" s="47"/>
      <c r="K30" s="47"/>
    </row>
    <row r="31" ht="15.75" customHeight="1">
      <c r="A31" s="47"/>
      <c r="B31" s="47"/>
      <c r="C31" s="47"/>
      <c r="D31" s="47"/>
      <c r="E31" s="47"/>
      <c r="F31" s="47"/>
      <c r="G31" s="72" t="str">
        <f t="shared" si="1"/>
        <v/>
      </c>
      <c r="H31" s="72" t="str">
        <f t="shared" si="2"/>
        <v/>
      </c>
      <c r="I31" s="47"/>
      <c r="J31" s="47"/>
      <c r="K31" s="47"/>
    </row>
    <row r="32" ht="15.75" customHeight="1">
      <c r="A32" s="47"/>
      <c r="B32" s="47"/>
      <c r="C32" s="47"/>
      <c r="D32" s="47"/>
      <c r="E32" s="47"/>
      <c r="F32" s="47"/>
      <c r="G32" s="72" t="str">
        <f t="shared" si="1"/>
        <v/>
      </c>
      <c r="H32" s="72" t="str">
        <f t="shared" si="2"/>
        <v/>
      </c>
      <c r="I32" s="47"/>
      <c r="J32" s="47"/>
      <c r="K32" s="47"/>
    </row>
    <row r="33" ht="15.75" customHeight="1">
      <c r="A33" s="47"/>
      <c r="B33" s="47"/>
      <c r="C33" s="47"/>
      <c r="D33" s="47"/>
      <c r="E33" s="47"/>
      <c r="F33" s="47"/>
      <c r="G33" s="72" t="str">
        <f t="shared" si="1"/>
        <v/>
      </c>
      <c r="H33" s="72" t="str">
        <f t="shared" si="2"/>
        <v/>
      </c>
      <c r="I33" s="47"/>
      <c r="J33" s="47"/>
      <c r="K33" s="47"/>
    </row>
    <row r="34" ht="15.75" customHeight="1">
      <c r="A34" s="47"/>
      <c r="B34" s="47"/>
      <c r="C34" s="47"/>
      <c r="D34" s="47"/>
      <c r="E34" s="47"/>
      <c r="F34" s="47"/>
      <c r="G34" s="72" t="str">
        <f t="shared" si="1"/>
        <v/>
      </c>
      <c r="H34" s="72" t="str">
        <f t="shared" si="2"/>
        <v/>
      </c>
      <c r="I34" s="47"/>
      <c r="J34" s="47"/>
      <c r="K34" s="47"/>
    </row>
    <row r="35" ht="15.75" customHeight="1">
      <c r="A35" s="47"/>
      <c r="B35" s="47"/>
      <c r="C35" s="47"/>
      <c r="D35" s="47"/>
      <c r="E35" s="47"/>
      <c r="F35" s="47"/>
      <c r="G35" s="72" t="str">
        <f t="shared" si="1"/>
        <v/>
      </c>
      <c r="H35" s="72" t="str">
        <f t="shared" si="2"/>
        <v/>
      </c>
      <c r="I35" s="47"/>
      <c r="J35" s="47"/>
      <c r="K35" s="47"/>
    </row>
    <row r="36" ht="15.75" customHeight="1">
      <c r="A36" s="47"/>
      <c r="B36" s="47"/>
      <c r="C36" s="47"/>
      <c r="D36" s="47"/>
      <c r="E36" s="47"/>
      <c r="F36" s="47"/>
      <c r="G36" s="72" t="str">
        <f t="shared" si="1"/>
        <v/>
      </c>
      <c r="H36" s="72" t="str">
        <f t="shared" si="2"/>
        <v/>
      </c>
      <c r="I36" s="47"/>
      <c r="J36" s="47"/>
      <c r="K36" s="47"/>
    </row>
    <row r="37" ht="15.75" customHeight="1">
      <c r="A37" s="47"/>
      <c r="B37" s="47"/>
      <c r="C37" s="47"/>
      <c r="D37" s="47"/>
      <c r="E37" s="47"/>
      <c r="F37" s="47"/>
      <c r="G37" s="72" t="str">
        <f t="shared" si="1"/>
        <v/>
      </c>
      <c r="H37" s="72" t="str">
        <f t="shared" si="2"/>
        <v/>
      </c>
      <c r="I37" s="47"/>
      <c r="J37" s="47"/>
      <c r="K37" s="47"/>
    </row>
    <row r="38" ht="15.75" customHeight="1">
      <c r="A38" s="47"/>
      <c r="B38" s="47"/>
      <c r="C38" s="47"/>
      <c r="D38" s="47"/>
      <c r="E38" s="47"/>
      <c r="F38" s="47"/>
      <c r="G38" s="72" t="str">
        <f t="shared" si="1"/>
        <v/>
      </c>
      <c r="H38" s="72" t="str">
        <f t="shared" si="2"/>
        <v/>
      </c>
      <c r="I38" s="47"/>
      <c r="J38" s="47"/>
      <c r="K38" s="47"/>
    </row>
    <row r="39" ht="15.75" customHeight="1">
      <c r="A39" s="47"/>
      <c r="B39" s="47"/>
      <c r="C39" s="47"/>
      <c r="D39" s="47"/>
      <c r="E39" s="47"/>
      <c r="F39" s="47"/>
      <c r="G39" s="72" t="str">
        <f t="shared" si="1"/>
        <v/>
      </c>
      <c r="H39" s="72" t="str">
        <f t="shared" si="2"/>
        <v/>
      </c>
      <c r="I39" s="47"/>
      <c r="J39" s="47"/>
      <c r="K39" s="47"/>
    </row>
    <row r="40" ht="15.75" customHeight="1">
      <c r="A40" s="47"/>
      <c r="B40" s="47"/>
      <c r="C40" s="47"/>
      <c r="D40" s="47"/>
      <c r="E40" s="47"/>
      <c r="F40" s="47"/>
      <c r="G40" s="72" t="str">
        <f t="shared" si="1"/>
        <v/>
      </c>
      <c r="H40" s="72" t="str">
        <f t="shared" si="2"/>
        <v/>
      </c>
      <c r="I40" s="47"/>
      <c r="J40" s="47"/>
      <c r="K40" s="47"/>
    </row>
    <row r="41" ht="15.75" customHeight="1">
      <c r="A41" s="47"/>
      <c r="B41" s="47"/>
      <c r="C41" s="47"/>
      <c r="D41" s="47"/>
      <c r="E41" s="47"/>
      <c r="F41" s="47"/>
      <c r="G41" s="72" t="str">
        <f t="shared" si="1"/>
        <v/>
      </c>
      <c r="H41" s="72" t="str">
        <f t="shared" si="2"/>
        <v/>
      </c>
      <c r="I41" s="47"/>
      <c r="J41" s="47"/>
      <c r="K41" s="47"/>
    </row>
    <row r="42" ht="15.75" customHeight="1">
      <c r="A42" s="47"/>
      <c r="B42" s="47"/>
      <c r="C42" s="47"/>
      <c r="D42" s="47"/>
      <c r="E42" s="47"/>
      <c r="F42" s="47"/>
      <c r="G42" s="72" t="str">
        <f t="shared" si="1"/>
        <v/>
      </c>
      <c r="H42" s="72" t="str">
        <f t="shared" si="2"/>
        <v/>
      </c>
      <c r="I42" s="47"/>
      <c r="J42" s="47"/>
      <c r="K42" s="47"/>
    </row>
    <row r="43" ht="15.75" customHeight="1">
      <c r="A43" s="47"/>
      <c r="B43" s="47"/>
      <c r="C43" s="47"/>
      <c r="D43" s="47"/>
      <c r="E43" s="47"/>
      <c r="F43" s="47"/>
      <c r="G43" s="72" t="str">
        <f t="shared" si="1"/>
        <v/>
      </c>
      <c r="H43" s="72" t="str">
        <f t="shared" si="2"/>
        <v/>
      </c>
      <c r="I43" s="47"/>
      <c r="J43" s="47"/>
      <c r="K43" s="47"/>
    </row>
    <row r="44" ht="15.75" customHeight="1">
      <c r="A44" s="47"/>
      <c r="B44" s="47"/>
      <c r="C44" s="47"/>
      <c r="D44" s="47"/>
      <c r="E44" s="47"/>
      <c r="F44" s="47"/>
      <c r="G44" s="72" t="str">
        <f t="shared" si="1"/>
        <v/>
      </c>
      <c r="H44" s="72" t="str">
        <f t="shared" si="2"/>
        <v/>
      </c>
      <c r="I44" s="47"/>
      <c r="J44" s="47"/>
      <c r="K44" s="47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5:H44">
    <cfRule type="cellIs" dxfId="1" priority="1" operator="equal">
      <formula>"Alto"</formula>
    </cfRule>
  </conditionalFormatting>
  <conditionalFormatting sqref="H5:H44">
    <cfRule type="cellIs" dxfId="2" priority="2" operator="equal">
      <formula>"Medio"</formula>
    </cfRule>
  </conditionalFormatting>
  <conditionalFormatting sqref="H5:H44">
    <cfRule type="cellIs" dxfId="0" priority="3" operator="equal">
      <formula>"Bajo"</formula>
    </cfRule>
  </conditionalFormatting>
  <dataValidations>
    <dataValidation type="list" allowBlank="1" sqref="E5:F44">
      <formula1>Listas!$H$2:$H$6</formula1>
    </dataValidation>
    <dataValidation type="list" allowBlank="1" sqref="C5:C44">
      <formula1>Listas!$A$2:$A$6</formula1>
    </dataValidation>
    <dataValidation type="list" allowBlank="1" sqref="D5:D44">
      <formula1>Listas!$G$2:$G$3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26.0"/>
    <col customWidth="1" min="9" max="26" width="8.71"/>
  </cols>
  <sheetData>
    <row r="1">
      <c r="A1" s="81" t="s">
        <v>6</v>
      </c>
      <c r="B1" s="81" t="s">
        <v>8</v>
      </c>
      <c r="C1" s="81" t="s">
        <v>9</v>
      </c>
      <c r="D1" s="81" t="s">
        <v>196</v>
      </c>
      <c r="E1" s="81" t="s">
        <v>198</v>
      </c>
      <c r="F1" s="81" t="s">
        <v>192</v>
      </c>
      <c r="G1" s="81" t="s">
        <v>556</v>
      </c>
      <c r="H1" s="81" t="s">
        <v>557</v>
      </c>
    </row>
    <row r="2">
      <c r="A2" s="82" t="s">
        <v>37</v>
      </c>
      <c r="B2" s="82" t="s">
        <v>18</v>
      </c>
      <c r="C2" s="82" t="s">
        <v>23</v>
      </c>
      <c r="D2" s="82" t="s">
        <v>209</v>
      </c>
      <c r="E2" s="82" t="s">
        <v>211</v>
      </c>
      <c r="F2" s="82" t="s">
        <v>269</v>
      </c>
      <c r="G2" s="82" t="s">
        <v>471</v>
      </c>
      <c r="H2" s="82">
        <v>1.0</v>
      </c>
    </row>
    <row r="3">
      <c r="A3" s="82" t="s">
        <v>63</v>
      </c>
      <c r="B3" s="82" t="s">
        <v>101</v>
      </c>
      <c r="C3" s="82" t="s">
        <v>56</v>
      </c>
      <c r="D3" s="82" t="s">
        <v>289</v>
      </c>
      <c r="E3" s="82" t="s">
        <v>264</v>
      </c>
      <c r="F3" s="82" t="s">
        <v>552</v>
      </c>
      <c r="G3" s="82" t="s">
        <v>483</v>
      </c>
      <c r="H3" s="82">
        <v>2.0</v>
      </c>
    </row>
    <row r="4">
      <c r="A4" s="82" t="s">
        <v>86</v>
      </c>
      <c r="C4" s="82" t="s">
        <v>97</v>
      </c>
      <c r="D4" s="82" t="s">
        <v>263</v>
      </c>
      <c r="E4" s="82" t="s">
        <v>290</v>
      </c>
      <c r="F4" s="82" t="s">
        <v>553</v>
      </c>
      <c r="H4" s="82">
        <v>3.0</v>
      </c>
    </row>
    <row r="5">
      <c r="A5" s="82" t="s">
        <v>16</v>
      </c>
      <c r="D5" s="82" t="s">
        <v>396</v>
      </c>
      <c r="E5" s="82" t="s">
        <v>271</v>
      </c>
      <c r="F5" s="82" t="s">
        <v>554</v>
      </c>
      <c r="H5" s="82">
        <v>4.0</v>
      </c>
    </row>
    <row r="6">
      <c r="A6" s="82" t="s">
        <v>107</v>
      </c>
      <c r="D6" s="82" t="s">
        <v>364</v>
      </c>
      <c r="E6" s="82" t="s">
        <v>331</v>
      </c>
      <c r="H6" s="82">
        <v>5.0</v>
      </c>
    </row>
    <row r="7">
      <c r="D7" s="82" t="s">
        <v>277</v>
      </c>
      <c r="E7" s="82" t="s">
        <v>419</v>
      </c>
    </row>
    <row r="8">
      <c r="D8" s="82" t="s">
        <v>558</v>
      </c>
      <c r="E8" s="82" t="s">
        <v>320</v>
      </c>
    </row>
    <row r="9">
      <c r="E9" s="82" t="s">
        <v>397</v>
      </c>
    </row>
    <row r="10">
      <c r="A10" s="2" t="s">
        <v>559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2026-10-15T19:54:27Z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